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I" sheetId="1" r:id="rId5"/>
    <sheet state="visible" name="Notification Service" sheetId="2" r:id="rId6"/>
    <sheet state="visible" name="Commerce Service" sheetId="3" r:id="rId7"/>
    <sheet state="visible" name="Catalog Service" sheetId="4" r:id="rId8"/>
    <sheet state="visible" name="Auction Service" sheetId="5" r:id="rId9"/>
    <sheet state="visible" name="Fullfillment Service" sheetId="6" r:id="rId10"/>
    <sheet state="visible" name="User Service" sheetId="7" r:id="rId11"/>
    <sheet state="visible" name="Wallet Service" sheetId="8" r:id="rId12"/>
  </sheets>
  <definedNames/>
  <calcPr/>
</workbook>
</file>

<file path=xl/sharedStrings.xml><?xml version="1.0" encoding="utf-8"?>
<sst xmlns="http://schemas.openxmlformats.org/spreadsheetml/2006/main" count="4644" uniqueCount="3033">
  <si>
    <t>Id</t>
  </si>
  <si>
    <t>Function ID</t>
  </si>
  <si>
    <t>Name</t>
  </si>
  <si>
    <t>Function Name</t>
  </si>
  <si>
    <t>Description</t>
  </si>
  <si>
    <t>Type</t>
  </si>
  <si>
    <t>Request</t>
  </si>
  <si>
    <t>Response</t>
  </si>
  <si>
    <t>Validate</t>
  </si>
  <si>
    <t>Call Another Service</t>
  </si>
  <si>
    <t>Validation Rules</t>
  </si>
  <si>
    <t>Event Name</t>
  </si>
  <si>
    <t>Transaction</t>
  </si>
  <si>
    <t>Permission / Role</t>
  </si>
  <si>
    <t>Error</t>
  </si>
  <si>
    <t>Business Rule</t>
  </si>
  <si>
    <t>Business Rules</t>
  </si>
  <si>
    <t>CART-01</t>
  </si>
  <si>
    <t>NOTI-01</t>
  </si>
  <si>
    <t>Method</t>
  </si>
  <si>
    <t>Endpoint</t>
  </si>
  <si>
    <t>Get my cart / Lấy giỏ hàng của tôi</t>
  </si>
  <si>
    <t>RegisterDeviceToken</t>
  </si>
  <si>
    <t>POST /api/v1/notifications/devices
 Đăng ký hoặc làm mới FCM/APNs/WebPush token cho thiết bị của người dùng để nhận Push Notification.</t>
  </si>
  <si>
    <t>Lấy giỏ ACTIVE của buyer, nếu chưa có giỏ thì trả giỏ rỗng (không tạo cart), kèm cờ cảnh báo giá/tồn kho.
 (EN: get the active cart (virtual empty cart if none) with live validation flags)</t>
  </si>
  <si>
    <t>ID tham chiếu</t>
  </si>
  <si>
    <t>API – Command (POST)</t>
  </si>
  <si>
    <t>- Header: Authorization: Bearer &lt;JWT&gt;
 - Body:
  + platform (string: WEB | IOS | ANDROID)
  + token (string: FCM/APNs registration token)</t>
  </si>
  <si>
    <t>200 OK
 {
  "deviceId": "UUID",
  "userId": "UUID",
  "platform": "WEB | IOS | ANDROID",
  "isActive": true,
  "lastSeenAt": "timestamptz"
 }</t>
  </si>
  <si>
    <t>- userId lấy từ JWT, không nhận từ body
 - platform thuộc [WEB, IOS, ANDROID]
 - token không được rỗng (max 2048 ký tự)</t>
  </si>
  <si>
    <t>Không</t>
  </si>
  <si>
    <t>API – GET /api/v1/carts/me</t>
  </si>
  <si>
    <t>CAT-01</t>
  </si>
  <si>
    <t>Có (Ghi bảng device_tokens)</t>
  </si>
  <si>
    <t>Buyer, Seller (Đã đăng nhập)</t>
  </si>
  <si>
    <t>- 400 VALIDATION_FAILED: Platform hoặc token không hợp lệ
 - 401 UNAUTHORIZED: Chưa đăng nhập</t>
  </si>
  <si>
    <t>Header: Authorization: Bearer &lt;JWT&gt;
 Query: includeInvalid=true|false (default true)</t>
  </si>
  <si>
    <t>1. Upsert theo cột token (uq_device_tokens_token).
 2. Nếu token đã tồn tại (kể cả của user cũ trên cùng máy): cập nhật lại user_id mới, is_active = true, last_seen_at = NOW(), deleted_at = null.
 3. Không ghi nguyên chuỗi token vào log hệ thống.</t>
  </si>
  <si>
    <t>200 {cartId (null nếu chưa có giỏ), status, itemCount, subtotalAmount, lastActivityAt,
  groups:[{sellerId, sellerName, items:[{cartItemId, productId, skuId, productName, skuAttributes, imageUrl, quantity, unitPriceSnapshot, currentUnitPrice, lineTotal, priceChanged, stockAvailable, itemStatus: OK|OUT_OF_STOCK|INACTIVE|PRICE_CHANGED}]}],
  warnings:[]}</t>
  </si>
  <si>
    <t>Tạo sản phẩm bán thường</t>
  </si>
  <si>
    <t>buyerId lấy từ JWT, KHÔNG nhận từ client.</t>
  </si>
  <si>
    <t>NOTI-02</t>
  </si>
  <si>
    <t>RevokeDeviceToken</t>
  </si>
  <si>
    <t>Catalog: POST /internal/v1/skus:batch-get (giá, status, ảnh, seller).
 Fulfillment: GET availability batch (cache ~30s, optional).</t>
  </si>
  <si>
    <t>DELETE /api/v1/notifications/devices
 Thu hồi / vô hiệu hóa token thiết bị khi người dùng đăng xuất hoặc tắt quyền Push trên thiết bị.</t>
  </si>
  <si>
    <t>— (CartCreated do CART-02 phát khi tạo cart lần đầu)</t>
  </si>
  <si>
    <t>API – Command (DELETE)</t>
  </si>
  <si>
    <t>- Header: Authorization: Bearer &lt;JWT&gt;
 - Body / Query:
  + token (string)</t>
  </si>
  <si>
    <t>Read-only, KHÔNG ghi DB. Nếu buyer chưa có cart ACTIVE → trả giỏ rỗng ảo {cartId:null, itemCount:0, subtotalAmount:0, groups:[]}; cart chỉ được tạo lazy ở CART-02 (xem race tạo trùng ở CART-02).</t>
  </si>
  <si>
    <t>204 No Content</t>
  </si>
  <si>
    <t>CART.VIEW / Buyer</t>
  </si>
  <si>
    <t>Catalog/Fulfillment lỗi → degrade: trả 200 + snapshot, stockAvailable=null, warnings[CATALOG_UNAVAILABLE | FULFILLMENT_UNAVAILABLE] (KHÔNG trả 503)
 + Lỗi chung: 401/403/429/500 (xem sheet Error Codes)</t>
  </si>
  <si>
    <t>Seller hoặc Admin tạo sản phẩm bán thường (SaleType = REGULAR) kèm ít nhất 1 variant (SKU). Trạng thái ban đầu là DRAFT. Sản phẩm bán đấu giá dùng CAT-43. Hai function dùng chung hàm lõi tạo sản phẩm.</t>
  </si>
  <si>
    <t>POST</t>
  </si>
  <si>
    <t>MAX_ACTIVE_CART_PER_USER=1. Nhóm item theo seller_id. Hiển thị giá hiện tại, KHÔNG ghi đè snapshot. GET không cập nhật last_activity_at. Tên seller/ảnh/giá hiện tại lấy từ Catalog/User (không join cross-service). itemCount = số dòng cart_items (không phải tổng quantity). subtotalAmount tính theo unit_price_snapshot (tham khảo, có thể khác giá hiện tại; giá thật tính lại ở CHK-01/02).</t>
  </si>
  <si>
    <t>/api/v1/auth/register</t>
  </si>
  <si>
    <t>Có (Cập nhật bảng device_tokens)</t>
  </si>
  <si>
    <t>API</t>
  </si>
  <si>
    <t>Người dùng đăng kí tài khoản</t>
  </si>
  <si>
    <t>- 400 VALIDATION_FAILED
 - 401 UNAUTHORIZED
 - 404 DEVICE_TOKEN_NOT_FOUND: Không tìm thấy token thuộc user hiện tại</t>
  </si>
  <si>
    <t>CART-02</t>
  </si>
  <si>
    <t>1. Chỉ cho phép vô hiệu hóa token có user_id khớp với user đang đăng nhập.
 2. Xóa mềm: cập nhật is_active = false, deleted_at = NOW(), updated_at = NOW() để ngừng gửi Push và giữ lại lịch sử phục vụ đối soát.</t>
  </si>
  <si>
    <t>{
  "email": "string",
  "password": "string",
  "username": "string (optional, max 100)",
  "first_name": "string",
  "last_name": "string",
  "phone_number": "string"
}</t>
  </si>
  <si>
    <t>POST /api/v1/products | Body: CategoryId; Name; Description; Brand; Specifications; Variants[SkuCode, Name, Price, Currency, IsActive, Attributes[AttrName, AttrValue]]</t>
  </si>
  <si>
    <t>NOTI-03</t>
  </si>
  <si>
    <t>GetMyNotificationPreferences</t>
  </si>
  <si>
    <t>201 Created | ProductId; Status = DRAFT; Variants[VariantId, SkuCode]</t>
  </si>
  <si>
    <t>GET /api/v1/notifications/preferences
 Lấy danh sách cấu hình bật/tắt nhận thông báo của người dùng theo từng loại nghiệp vụ và kênh gửi (#129).</t>
  </si>
  <si>
    <t>{
  "msg": "Đăng ký thành công, vui lòng kiểm tra email để lấy mã OTP xác thực",
  "data": {
    "userId": "uuid",
    "email": "string",
    "otpExpiresIn": "int: 300"
  }
}</t>
  </si>
  <si>
    <t>API – Query (GET)</t>
  </si>
  <si>
    <t>Add item to cart / Thêm sản phẩm vào giỏ</t>
  </si>
  <si>
    <t>Name không rỗng; CategoryId tồn tại, còn hoạt động và chưa xóa; có ít nhất 1 variant; SkuCode duy nhất; Price bắt buộc và lớn hơn 0 cho mọi variant; đúng 1 variant mặc định; SaleType do server tự gán là REGULAR, không nhận từ body</t>
  </si>
  <si>
    <t>- Header: Authorization: Bearer &lt;JWT&gt;</t>
  </si>
  <si>
    <t>- 400 Bad Request: ERR_VALIDATION_FAILED: Dữ liệu không hợp lệ
- 409 Conflict: ERR_EMAIL_ALREADY_EXISTS: Email đã được sử dụng
- 409 Conflict: ERR_USERNAME_ALREADY_EXISTS: Username đã được sử dụng
- 409 Conflict: ERR_PHONE_ALREADY_EXISTS: SĐT đã được sử dụng</t>
  </si>
  <si>
    <t>User Service: xác thực người dùng và seller qua token (SellerId lấy từ token)</t>
  </si>
  <si>
    <t>200 OK
 {
  "items": [
  {
  "notificationType": "ORDER_PAID | AUCTION_OUTBID | PROMOTION | ...",
  "channelCode": "EMAIL | PUSH | IN_APP",
  "isEnabled": true,
  "isMandatory": true
  }
  ]
 }</t>
  </si>
  <si>
    <t>ProductCreated</t>
  </si>
  <si>
    <t>Thêm SKU vào giỏ; nếu SKU đã có thì cộng dồn số lượng.
 (EN: add SKU, merge quantity if exists)</t>
  </si>
  <si>
    <t>Không (Chỉ đọc: notification_preferences, notification_templates, notification_channels)</t>
  </si>
  <si>
    <t>Buyer, Seller</t>
  </si>
  <si>
    <t>Có: ghi Products, ProductVariants, ProductVariantAttributes, ProductRatingStats (dòng 0 ban đầu), AuditLogs trong 1 transaction; phát event sau khi commit</t>
  </si>
  <si>
    <t>- 401 UNAUTHORIZED</t>
  </si>
  <si>
    <t>Seller, Admin (PRODUCT.CREATE)</t>
  </si>
  <si>
    <t>API – POST /api/v1/carts/me/items</t>
  </si>
  <si>
    <t>400 VALIDATION_FAILED; 401 UNAUTHORIZED; 403 FORBIDDEN; 404 CATEGORY_NOT_FOUND; 409 SKU_DUPLICATED</t>
  </si>
  <si>
    <t>AUTH-01</t>
  </si>
  <si>
    <t>1. Kết hợp danh mục (notification_type, channel_code) từ notification_templates với cấu hình cá nhân trong notification_preferences.
 2. Nếu người dùng mới chưa có bản ghi trong notification_preferences thì mặc định trả về isEnabled = true.
 3. Trả kèm cờ isMandatory từ template: nếu isMandatory = true thì luôn hiển thị isEnabled = true và khóa nút tắt trên UI.</t>
  </si>
  <si>
    <t>NOTI-04</t>
  </si>
  <si>
    <t>WAL-01 (tạo ví 0 đồng)</t>
  </si>
  <si>
    <t>Body: {productId: uuid, skuId: uuid, quantity: int}</t>
  </si>
  <si>
    <t>UpdateNotificationPreferences</t>
  </si>
  <si>
    <t>200 {cartItemId, quantity, unitPriceSnapshot, cart:{itemCount, subtotalAmount}}</t>
  </si>
  <si>
    <t>NOTI-10 (Gửi email OTP)</t>
  </si>
  <si>
    <t>PUT /api/v1/notifications/preferences
 Cập nhật tùy chọn bật/tắt nhận thông báo theo loại sự kiện và kênh gửi của người dùng (#129).</t>
  </si>
  <si>
    <t>API – Command (PUT)</t>
  </si>
  <si>
    <t>- quantity: số nguyên 1..MAX_QTY_PER_ITEM (config, vd 99)
 - productId/skuId đúng UUID, SKU thuộc product
 - Product status = ACTIVE, seller chưa bị khoá
 - Không mua hàng của chính mình (buyerId ≠ sellerId)
 - Product không đang bán theo auction (Catalog trả saleMode ≠ AUCTION / không có auction ACTIVE)
 - Cart không bị khoá: không có checkout_groups PENDING_PAYMENT / PAYMENT_PROCESSING (CART_LOCKED)
 - Tổng qty sau cộng dồn ≤ tồn khả dụng (soft check) và ≤ MAX_QTY_PER_ITEM (check lại trong SQL upsert)
 - Số dòng khác nhau ≤ MAX_CART_ITEMS (vd 50)</t>
  </si>
  <si>
    <t>Mặc định Status = DRAFT; giá chỉ bắt buộc khi đăng bán nên không bắt buộc lúc tạo; hàng SaleType = AUCTION có thể để trống giá; Seller tạo cho chính mình, Admin có thể tạo hộ seller; không nhập số lượng tồn kho ở đây (thuộc Fulfillment Service)</t>
  </si>
  <si>
    <t>Catalog: lấy SKU/giá/seller/saleMode.
 Fulfillment: check availability (InventoryChecked). Gọi TRƯỚC khi mở TX. Fulfillment lỗi/timeout → KHÔNG chặn add (soft check, kèm warnings); check cứng làm ở CHK-02.</t>
  </si>
  <si>
    <t>- Header: Authorization: Bearer &lt;JWT&gt;
 - Body:
  + preferences: [{
  notificationType (string),
  channelCode (string: EMAIL | PUSH),
  isEnabled (boolean)
  }]</t>
  </si>
  <si>
    <t>CartItemAdded (+CartCreated nếu cart mới)</t>
  </si>
  <si>
    <t>200 OK
 {
  "updatedCount": "int",
  "preferences": [...]
 }</t>
  </si>
  <si>
    <t>- notificationType thuộc danh mục NotificationType hợp lệ
 - channelCode thuộc [EMAIL, PUSH]
 - preferences không được rỗng</t>
  </si>
  <si>
    <t>1 local TX (READ COMMITTED): kiểm tra CART_LOCKED + optimistic lock carts.row_version (conflict → retry 1–2 lần, đồng bộ CART-03); chưa có cart ACTIVE → INSERT carts (+CartCreated), race tạo trùng → partial unique index (buyer_id) WHERE status='ACTIVE' AND deleted_at IS NULL, bắt DuplicateKey rồi SELECT lại → UPSERT cart_items ON CONFLICT (cart_id, sku_id) DO UPDATE SET quantity=LEAST(cart_items.quantity+:q, MAX_QTY_PER_ITEM) → recalc item_count, subtotal_amount → update last_activity_at → insert outbox. Không giữ lock DB khi gọi mạng.</t>
  </si>
  <si>
    <t>CART.UPDATE / Buyer</t>
  </si>
  <si>
    <t>Có (Upsert bảng notification_preferences)</t>
  </si>
  <si>
    <t>400 VALIDATION_ERROR; 404 PRODUCT_NOT_FOUND | SKU_NOT_FOUND; 409 PRODUCT_NOT_AVAILABLE; 409 INSUFFICIENT_STOCK; 409 CART_ITEM_LIMIT_EXCEEDED; 409 CANNOT_BUY_OWN_PRODUCT; 409 PRODUCT_IN_AUCTION; 409 CART_LOCKED; 503 CATALOG_UNAVAILABLE
 + Lỗi chung: 401/403/429/500 (xem sheet Error Codes)</t>
  </si>
  <si>
    <t>- 400 VALIDATION_FAILED
 - 401 UNAUTHORIZED
 - 422 MANDATORY_NOTIFICATION_CANNOT_DISABLE: Không thể tắt thông báo giao dịch/bảo mật bắt buộc</t>
  </si>
  <si>
    <t>1. Ràng buộc cứng (#129): Kiểm tra notification_templates, nếu cặp (notification_type, channel_code) có is_mandatory = true (VD: ORDER_PAID, OTP, SECURITY_ALERT, REPUTATION_PENALTY) và client gửi isEnabled = false -&gt; trả lỗi 422.
 2. Upsert theo khóa duy nhất (user_id, notification_type, channel_code).</t>
  </si>
  <si>
    <t>Cần UNIQUE(cart_id, sku_id) (DB hiện chưa có). unit_price_snapshot = giá tại thời điểm thêm lần đầu; KHÔNG đổi khi cộng dồn (thống nhất với CART-01/03; giá thật được re-price ở CHK-01/02). cart_items.seller_id denormalize từ Catalog. KHÔNG reserve inventory khi add cart. Cart không ACTIVE → tạo cart mới. Cho phép ALLOW_OVERSELL=false. Mục tiêu SLA add-to-cart ≤ 500ms (SRS 5.1) → đặt timeout ngắn + circuit breaker cho Catalog/Fulfillment.</t>
  </si>
  <si>
    <t>NOTI-05</t>
  </si>
  <si>
    <t>GetMyNotifications</t>
  </si>
  <si>
    <t>/api/v1/auth/otp/verify</t>
  </si>
  <si>
    <t>GET /api/v1/notifications/me
 Lấy danh sách lịch sử thông báo (Notification Center / Quả chuông In-App) của người dùng kèm số lượng chưa đọc (#131).</t>
  </si>
  <si>
    <t>CART-03</t>
  </si>
  <si>
    <t>CAT-02</t>
  </si>
  <si>
    <t>Update cart item quantity / Cập nhật số lượng</t>
  </si>
  <si>
    <t>Xác thực tài khoản người dùng</t>
  </si>
  <si>
    <t>Cập nhật sản phẩm</t>
  </si>
  <si>
    <t>Đổi số lượng 1 dòng trong giỏ. (EN: update quantity of a cart line)</t>
  </si>
  <si>
    <t>- Header: Authorization: Bearer &lt;JWT&gt;
 - Query:
  + isRead (boolean, optional)
  + notificationType (string, optional)
  + pageIndex (int, default 1)
  + pageSize (int, default 20, max 100)</t>
  </si>
  <si>
    <t>{
  "email": "string",
  "otp_code": "string: 6 digits"
}</t>
  </si>
  <si>
    <t>API – PATCH /api/v1/carts/me/items/{cartItemId}</t>
  </si>
  <si>
    <t>Path: cartItemId
 Body: {quantity: int}</t>
  </si>
  <si>
    <t>Sửa thông tin chung của sản phẩm (không gồm trạng thái và variant).</t>
  </si>
  <si>
    <t>200 {cartItemId, quantity, lineTotal, cart:{itemCount, subtotalAmount}}</t>
  </si>
  <si>
    <t>{
  "msg": "Kích hoạt tài khoản thành công! Bạn có thể đăng nhập ngay bây giờ",
  "data": {
    "isVerified": "boolean: true",
    "email": "string"
  }
}</t>
  </si>
  <si>
    <t>200 OK
 {
  "unreadCount": "int",
  "totalCount": "int",
  "items": [
  {
  "id": "UUID",
  "notificationType": "string",
  "title": "string",
  "body": "string (snapshot đã render)",
  "payload": "jsonb (orderId, auctionId, deepLink...)",
  "isRead": "boolean",
  "readAt": "timestamptz | null",
  "createdAt": "timestamptz"
  }
  ]
 }</t>
  </si>
  <si>
    <t>- quantity ≥ 1 và ≤ MAX_QTY_PER_ITEM (muốn xoá dùng DELETE)
 - Item thuộc cart ACTIVE của chính buyer
 - quantity ≤ tồn khả dụng
 - Cart không bị khoá (CART_LOCKED)</t>
  </si>
  <si>
    <t>PATCH /api/v1/products/{id} | Body: CategoryId; Name; Description; Brand; Specifications</t>
  </si>
  <si>
    <t>Fulfillment: check availability.
 Catalog: SKU còn ACTIVE.</t>
  </si>
  <si>
    <t>- pageIndex &gt;= 1
 - pageSize từ 1 đến 100
 - notificationType hợp lệ nếu có truyền</t>
  </si>
  <si>
    <t>CartItemUpdated</t>
  </si>
  <si>
    <t>200 OK | Thông tin sản phẩm sau khi cập nhật</t>
  </si>
  <si>
    <t>1 local TX: UPDATE cart_items … + recalc carts (item_count, subtotal) + outbox. Dùng optimistic lock (thêm carts.row_version) → conflict thì retry 1–2 lần.</t>
  </si>
  <si>
    <t>Không (Chỉ đọc: notifications)</t>
  </si>
  <si>
    <t>Sản phẩm tồn tại và chưa xóa; Name không rỗng; CategoryId hợp lệ nếu có đổi; không nhận SaleType (không đổi được sau khi tạo)</t>
  </si>
  <si>
    <t>Buyer, Seller, Admin, Support Staff</t>
  </si>
  <si>
    <t>400 VALIDATION_ERROR; 404 CART_ITEM_NOT_FOUND; 409 INSUFFICIENT_STOCK; 409 PRODUCT_NOT_AVAILABLE; 409 CONCURRENT_UPDATE; 409 CART_LOCKED
 + Lỗi chung: 401/403/429/500 (xem sheet Error Codes)</t>
  </si>
  <si>
    <t>- 400 VALIDATION_FAILED
 - 401 UNAUTHORIZED</t>
  </si>
  <si>
    <t>Item của người khác → trả 404 (không lộ tồn tại). Cập nhật last_activity_at (gia hạn expiry). Không đổi unit_price_snapshot.</t>
  </si>
  <si>
    <t>ProductUpdated</t>
  </si>
  <si>
    <t>CART-04</t>
  </si>
  <si>
    <t>1. Chỉ trả về thông báo có user_id = currentUserId, sắp xếp mặc định created_at DESC (dùng index ix_notifications_user_created).
 2. Đếm nhanh unreadCount qua partial index ix_notifications_user_unread (WHERE is_read = false).
 3. Hiển thị trực tiếp cột title và body đã snapshot lúc tạo, tuyệt đối không render lại theo template mới.</t>
  </si>
  <si>
    <t>Có: cập nhật Products và ghi AuditLogs trong 1 transaction</t>
  </si>
  <si>
    <t>Xoá một item khỏi giỏ. (EN: remove a cart line)</t>
  </si>
  <si>
    <t>NOTI-06</t>
  </si>
  <si>
    <t>API – DELETE /api/v1/carts/me/items/{cartItemId}</t>
  </si>
  <si>
    <t>Seller (sản phẩm của mình), Admin (PRODUCT.UPDATE)</t>
  </si>
  <si>
    <t>Path: cartItemId</t>
  </si>
  <si>
    <t>MarkNotificationsAsRead</t>
  </si>
  <si>
    <t>200 {cart:{itemCount, subtotalAmount}}</t>
  </si>
  <si>
    <t>400 VALIDATION_FAILED; 401 UNAUTHORIZED; 403 FORBIDDEN; 404 PRODUCT_NOT_FOUND</t>
  </si>
  <si>
    <t>PATCH /api/v1/notifications/me/read
 Đánh dấu một số hoặc toàn bộ thông báo trong hộp thư của người dùng là đã đọc (#131).</t>
  </si>
  <si>
    <t>API – Command (PATCH)</t>
  </si>
  <si>
    <t>- Item thuộc cart ACTIVE của buyer
 - Idempotent: item đã xoá / không tồn tại / không thuộc buyer → vẫn trả 200 (không lộ tồn tại)
 - Cart không bị khoá (CART_LOCKED)</t>
  </si>
  <si>
    <t>—</t>
  </si>
  <si>
    <t>- Header: Authorization: Bearer &lt;JWT&gt;
 - Body:
  + notificationIds (array of UUID, optional)
  + markAll (boolean, default false)</t>
  </si>
  <si>
    <t>CartItemRemoved</t>
  </si>
  <si>
    <t>Seller chỉ sửa sản phẩm có SellerId trùng với mình; không đổi Status qua API này (dùng CAT-03); cập nhật UpdatedAt, UpdatedBy</t>
  </si>
  <si>
    <t>200 OK
 {
  "updatedCount": "int",
  "unreadCount": "int"
 }</t>
  </si>
  <si>
    <t>1 local TX: DELETE cart_items (hard delete, bảng không có deleted_at) + recalc carts (item_count, subtotal_amount) + cập nhật last_activity_at + outbox.</t>
  </si>
  <si>
    <t>Có (Cập nhật bảng notifications)</t>
  </si>
  <si>
    <t>1. Chỉ cập nhật các dòng có user_id = currentUserId và is_read = false.
 2. Cập nhật is_read = true, read_at = NOW(), updated_at = NOW().
 3. Thao tác có tính Idempotent (nếu đã đọc trước đó thì bỏ qua, không báo lỗi).</t>
  </si>
  <si>
    <t>CAT-03</t>
  </si>
  <si>
    <t>NOTI-07</t>
  </si>
  <si>
    <t>ManageNotificationChannels</t>
  </si>
  <si>
    <t>Đổi trạng thái sản phẩm</t>
  </si>
  <si>
    <t>Chuyển sản phẩm giữa DRAFT, ACTIVE, INACTIVE. Khi INACTIVE phải kèm lý do ngừng bán (StatusReason).</t>
  </si>
  <si>
    <t>GET / PUT /api/v1/admin/notifications/channels/{code}
 Xem danh sách hoặc cập nhật trạng thái bật/tắt và cấu hình nhà cung cấp của kênh gửi thông báo (#127).</t>
  </si>
  <si>
    <t>API – Command / Query</t>
  </si>
  <si>
    <t>CART.REMOVE_ITEM / Buyer</t>
  </si>
  <si>
    <t>- Path: code (EMAIL | PUSH | IN_APP | SMS)
 - Body (khi PUT):
  + name (string)
  + provider (string: SMTP | SENDGRID | FCM | APNS)
  + config (jsonb: host, port, senderEmail, timeout...)
  + isEnabled (boolean)</t>
  </si>
  <si>
    <t>PATCH /api/v1/products/{id}/status | Body: Status; StatusReason</t>
  </si>
  <si>
    <t>409 CART_LOCKED (cart đang có checkout PENDING_PAYMENT / PAYMENT_PROCESSING). Chưa có cart → 200 (idempotent, itemCount=0)
 + Lỗi chung: 401/403/429/500 (xem sheet Error Codes)</t>
  </si>
  <si>
    <t>200 OK | ProductId; Status; StatusReason; PublishedAt</t>
  </si>
  <si>
    <t>200 OK
 {
  "id": "UUID",
  "code": "EMAIL | PUSH | IN_APP | SMS",
  "name": "string",
  "provider": "string",
  "config": "jsonb",
  "isEnabled": "boolean",
  "updatedAt": "timestamptz"
 }</t>
  </si>
  <si>
    <t>DELETE phải idempotent. Giỏ rỗng vẫn giữ cart ACTIVE (item_count=0, subtotal=0).</t>
  </si>
  <si>
    <t>- code thuộc [EMAIL, PUSH, IN_APP, SMS]
 - config phải là JSON hợp lệ và KHÔNG chứa trường nhạy cảm (password, apiKey, secret)</t>
  </si>
  <si>
    <t>CART-05</t>
  </si>
  <si>
    <t>Bulk remove / clear cart / Xoá nhiều dòng hoặc xoá hết</t>
  </si>
  <si>
    <t>Có (Cập nhật bảng notification_channels)</t>
  </si>
  <si>
    <t>Status thuộc DRAFT, ACTIVE, INACTIVE; INACTIVE bắt buộc có StatusReason thuộc SELLER_PAUSED, DISCONTINUED, ADMIN_LOCKED, OTHER; trạng thái khác thì StatusReason phải trống; chuyển sang ACTIVE phải có ít nhất 1 variant ACTIVE và hàng REGULAR phải có giá lớn hơn 0; sản phẩm AUCTION không cần giá khi chuyển sang ACTIVE (giá nằm ở Auction)</t>
  </si>
  <si>
    <t>Xoá nhiều item hoặc toàn bộ giỏ. (EN: bulk remove or clear)</t>
  </si>
  <si>
    <t>Admin (NOTIFICATION_CHANNEL.MANAGE)</t>
  </si>
  <si>
    <t>API – POST /api/v1/carts/me/items:bulk-remove</t>
  </si>
  <si>
    <t>Body: {cartItemIds:[uuid]} hoặc {all:true}</t>
  </si>
  <si>
    <t>- 400 SECRET_IN_CONFIG_FORBIDDEN: Phát hiện khóa bí mật trong JSON config
 - 401 UNAUTHORIZED
 - 403 FORBIDDEN
 - 404 CHANNEL_NOT_FOUND</t>
  </si>
  <si>
    <t>Auction Service (AUC-34, GET /internal/v1/auctions/status?productId=): kiểm tra isOpen trước khi chuyển sang INACTIVE. Cần chốt với nhóm Auction: Catalog chặn, hay để Auction tự hủy phiên khi nhận event ProductStatusChanged (AUC-32)</t>
  </si>
  <si>
    <t>200 {removedCount, cart:{itemCount, subtotalAmount}}</t>
  </si>
  <si>
    <t>ProductStatusChanged (kèm StatusReason)</t>
  </si>
  <si>
    <t>- cartItemIds 1..100, hoặc all=true (loại trừ nhau)
 - Mọi id thuộc cart của buyer (id lạ bỏ qua)</t>
  </si>
  <si>
    <t>1. Giai đoạn MVP kích hoạt 2 kênh ngoài chính: EMAIL và PUSH (kèm IN_APP).
 2. Bảo mật (NFR §5.4): Cột config chỉ lưu tham số phi bí mật (fromAddress, endpoint, timeout); API Key / SMTP Password bắt buộc lấy từ biến môi trường/Secret Vault.
 3. Khi is_enabled = false, mọi lượt gửi qua kênh này sẽ chuyển sang trạng thái SKIPPED.</t>
  </si>
  <si>
    <t>Có: cập nhật Products (Status, StatusReason, PublishedAt) và ghi AuditLogs trong 1 transaction</t>
  </si>
  <si>
    <t>CartItemRemoved (1 event/batch, payload list id)</t>
  </si>
  <si>
    <t>NOTI-08</t>
  </si>
  <si>
    <t>ManageNotificationTemplates</t>
  </si>
  <si>
    <t>1 local TX: DELETE … WHERE cart_id=? AND id IN (…) + recalc carts (item_count, subtotal_amount) + cập nhật last_activity_at + outbox.</t>
  </si>
  <si>
    <t>400 VALIDATION_ERROR; 409 CART_LOCKED
 + Lỗi chung: 401/403/429/500 (xem sheet Error Codes)</t>
  </si>
  <si>
    <t>GET / POST / PUT / DELETE /api/v1/admin/notifications/templates
 Quản lý mẫu nội dung thông báo (Template Engine) theo loại sự kiện, kênh gửi và ngôn ngữ (#127).</t>
  </si>
  <si>
    <t>400 VALIDATION_FAILED; 400 PRODUCT_NOT_READY; 403 FORBIDDEN; 403 ADMIN_LOCK_ONLY_ADMIN; 404 PRODUCT_NOT_FOUND; 409 INVALID_STATUS_TRANSITION</t>
  </si>
  <si>
    <t>Dùng POST :bulk-remove thay vì DELETE có body (nhiều proxy bỏ body của DELETE).</t>
  </si>
  <si>
    <t>CART-06</t>
  </si>
  <si>
    <t>DRAFT sang ACTIVE ghi PublishedAt ở lần đầu (giữ nguyên các lần sau); ACTIVE và INACTIVE đổi qua lại; mở lại sản phẩm bị ADMIN_LOCKED chỉ Admin; về ACTIVE thì StatusReason = NULL; đề xuất không cho quay về DRAFT</t>
  </si>
  <si>
    <t>- Body (POST/PUT):
  + code (string, VD: ORDER_PAID_EMAIL)
  + notificationType (string)
  + channelCode (string: EMAIL | PUSH | IN_APP)
  + subjectTemplate (string, bắt buộc nếu EMAIL)
  + bodyTemplate (string, Liquid/Handlebars syntax)
  + isMandatory (boolean)
  + locale (string, default "vi-VN")
  + isActive (boolean)</t>
  </si>
  <si>
    <t>Validate cart / Kiểm tra giỏ hàng trước checkout</t>
  </si>
  <si>
    <t>Kiểm tra từng item: còn bán, còn hàng, giá thay đổi (SRS 3.4.1.6).
 (EN: pre-checkout validation)</t>
  </si>
  <si>
    <t>200 OK / 201 Created
 {
  "id": "UUID",
  "code": "string",
  "notificationType": "string",
  "channelCode": "string",
  "isMandatory": "boolean",
  "locale": "string",
  "isActive": "boolean"
 }</t>
  </si>
  <si>
    <t>- code, notificationType, bodyTemplate không được để trống
 - channelCode tồn tại trong notification_channels
 - Nếu channelCode = EMAIL thì subjectTemplate bắt buộc
 - Cú pháp placeholder {{variable}} hợp lệ</t>
  </si>
  <si>
    <t>API – POST /api/v1/carts/me/validate (+ internal CartValidator dùng lại ở CHK-01/02)</t>
  </si>
  <si>
    <t>Có (Ghi bảng notification_templates)</t>
  </si>
  <si>
    <t>Body: {cartItemIds?: [uuid]} (rỗng = cả giỏ)</t>
  </si>
  <si>
    <t>Admin (NOTIFICATION_TEMPLATE.MANAGE)</t>
  </si>
  <si>
    <t>200 {valid: bool, items:[{cartItemId, issues:[PRICE_CHANGED|OUT_OF_STOCK|INACTIVE|SELLER_SUSPENDED|QTY_EXCEEDS_STOCK], currentUnitPrice, availableQty}]}</t>
  </si>
  <si>
    <t>CAT-04</t>
  </si>
  <si>
    <t>- Cart ACTIVE, không rỗng
 - cartItemIds thuộc cart</t>
  </si>
  <si>
    <t>- 400 INVALID_TEMPLATE_SYNTAX: Lỗi cú pháp Liquid/Handlebars
 - 403 FORBIDDEN
 - 404 TEMPLATE_NOT_FOUND
 - 409 TEMPLATE_CODE_DUPLICATED: Trùng(code, locale) khi chưa xóa mềm</t>
  </si>
  <si>
    <t>Xóa sản phẩm</t>
  </si>
  <si>
    <t>Catalog: batch-get SKU. Fulfillment: availability batch.</t>
  </si>
  <si>
    <t>Xóa mềm sản phẩm và các variant của nó khi chưa có đơn hàng nào.</t>
  </si>
  <si>
    <t>1. Khóa duy nhất theo (code, locale) WHERE deleted_at IS NULL.
 2. Xóa mẫu là xóa mềm (deleted_at = NOW(), is_active = false) để không làm gãy khóa ngoại fk_notifications_template (ON DELETE RESTRICT) của các thông báo lịch sử.
 3. Cờ is_mandatory = true đánh dấu thông báo giao dịch/bảo mật bắt buộc gửi.</t>
  </si>
  <si>
    <t>Read-only, không TX.</t>
  </si>
  <si>
    <t>NOTI-09</t>
  </si>
  <si>
    <t>DELETE /api/v1/products/{id}</t>
  </si>
  <si>
    <t>AdminSearchNotificationHistory</t>
  </si>
  <si>
    <t>GET /api/v1/admin/notifications
 Admin và Support Staff tra cứu lịch sử thông báo toàn hệ thống, kèm chi tiết các lượt gửi vật lý (deliveries) và nhật ký lỗi (logs) (#131, #138).</t>
  </si>
  <si>
    <t>409 CART_EMPTY; 503 CATALOG_UNAVAILABLE | FULFILLMENT_UNAVAILABLE
 + Lỗi chung: 401/403/429/500 (xem sheet Error Codes)</t>
  </si>
  <si>
    <t>Sản phẩm tồn tại và chưa xóa; không có variant nào HasOrder = true</t>
  </si>
  <si>
    <t>Chỉ báo cáo, không tự sửa giỏ. PRICE_CHANGED là cảnh báo (cho xác nhận lại), OUT_OF_STOCK/INACTIVE là chặn checkout.</t>
  </si>
  <si>
    <t>- Query:
  + userId (UUID, optional)
  + notificationType (string, optional)
  + status (PENDING | COMPLETED | PARTIAL | FAILED, optional)
  + channelCode (EMAIL | PUSH, optional)
  + from, to (timestamptz, optional)
  + pageIndex, pageSize</t>
  </si>
  <si>
    <t>Commerce Service: kiểm tra lại đơn hàng lần cuối (tùy chọn, tránh event đến trễ). Auction Service (AUC-34): kiểm tra phiên đang mở nếu chọn phương án chặn (cần chốt, xem CAT-03)</t>
  </si>
  <si>
    <t>ProductDeleted</t>
  </si>
  <si>
    <t>200 OK
 {
  "total": "int",
  "items": [
  {
  "notificationId": "UUID",
  "userId": "UUID",
  "notificationType": "string",
  "status": "string",
  "createdAt": "timestamptz",
  "deliveries": [{
  "deliveryId": "UUID",
  "channelCode": "string",
  "destination": "string (masked)",
  "status": "string",
  "attemptCount": "int",
  "errorCode": "string"
  }],
  "logs": [...]
  }
  ]
 }</t>
  </si>
  <si>
    <t>CART-07</t>
  </si>
  <si>
    <t>Có: đặt IsDeleted = true, DeletedAt cho Products và toàn bộ ProductVariants, ghi AuditLogs trong 1 transaction</t>
  </si>
  <si>
    <t>Cart price calculation / Tính giá giỏ hàng</t>
  </si>
  <si>
    <t>Seller (sản phẩm của mình), Admin (PRODUCT.DELETE)</t>
  </si>
  <si>
    <t>Không (Chỉ đọc: notifications, notification_deliveries, notification_logs)</t>
  </si>
  <si>
    <t>401 UNAUTHORIZED; 403 FORBIDDEN; 404 PRODUCT_NOT_FOUND; 409 PRODUCT_HAS_ORDER</t>
  </si>
  <si>
    <t>Hàm dùng chung tính subtotal, giảm giá, ship ước tính cho Cart/Preview/Checkout.
 (EN: shared pricing function)</t>
  </si>
  <si>
    <t>Admin, Support Staff</t>
  </si>
  <si>
    <t>- 400 VALIDATION_FAILED
 - 401 UNAUTHORIZED
 - 403 FORBIDDEN</t>
  </si>
  <si>
    <t>Internal – PricingService.calculate(items, address?, vouchers?)</t>
  </si>
  <si>
    <t>ALLOW_PRODUCT_DELETE_WITH_ORDER = false: đã có đơn thì từ chối và gợi ý chuyển INACTIVE; chỉ xóa mềm, không xóa hẳn dữ liệu; sản phẩm đang có phiên đấu giá cần quy định riêng (chờ nhóm Auction)</t>
  </si>
  <si>
    <t>Input: items[{skuId, qty, unitPrice}], address?, voucherCodes?</t>
  </si>
  <si>
    <t>1. Phục vụ CSKH/Support Staff kiểm tra vì sao khách hàng không nhận được email/push.
 2. Che dấu (mask) một phần thông tin nhạy cảm trên destination (VD: t***@gmail.com, token chỉ hiện 6 ký tự cuối) và tuyệt đối không hiển thị mã OTP trong nội dung tra cứu.</t>
  </si>
  <si>
    <t>Output: per-seller {itemsAmount, productDiscount, shopDiscount, platformMarkup, systemDiscount, shippingFee, totalAmount, sellerReceive, platformFee}</t>
  </si>
  <si>
    <t>NOTI-10</t>
  </si>
  <si>
    <t>ConsumeDomainEvent_TriggerNotification</t>
  </si>
  <si>
    <t>- qty&gt;0, giá ≥ 0, scale 2 (HALF_UP)</t>
  </si>
  <si>
    <t>Catalog (giá hiện tại). Fulfillment: shipping quote (chỉ khi có address).</t>
  </si>
  <si>
    <t>Lắng nghe các Domain Event nghiệp vụ từ Message Bus, xác định người nhận, render template và khởi tạo thông báo cùng các lượt gửi vật lý (#128, #138).</t>
  </si>
  <si>
    <t>Event Consumer / Inbox</t>
  </si>
  <si>
    <t>Pure function, không TX.</t>
  </si>
  <si>
    <t>void (ACK message sau khi commit DB)</t>
  </si>
  <si>
    <t>CAT-05</t>
  </si>
  <si>
    <t>System (internal)</t>
  </si>
  <si>
    <t>Xem chi tiết sản phẩm</t>
  </si>
  <si>
    <t>User Service: gRPC GetUserContact(userId) để lấy email, fullName, locale khi cần gửi kênh EMAIL</t>
  </si>
  <si>
    <t>422 PRICING_ERROR
 + Lỗi chung: 401/403/429/500 (xem sheet Error Codes)</t>
  </si>
  <si>
    <t>Lấy thông tin đầy đủ của một sản phẩm: variant, ảnh, điểm đánh giá, danh mục. Dùng cho trang chi tiết sản phẩm, trang quản lý của seller và phần thông tin sản phẩm của phiên đấu giá (AUC-02)</t>
  </si>
  <si>
    <t>Công thức xem sheet Status &amp; Formula. Cart page chỉ hiện subtotal + ship ước tính (null nếu chưa có địa chỉ). SRS nhắc 'taxes' nhưng DB không có cột thuế → cần chốt (gap #5).</t>
  </si>
  <si>
    <t>GET /api/v1/products/{id} | Query (tùy chọn): AuctionId</t>
  </si>
  <si>
    <t>CART-08</t>
  </si>
  <si>
    <t>Cart summary (badge) / Số lượng giỏ hàng</t>
  </si>
  <si>
    <t>Ingest:
- OrderPaid, OrderCancelled, OrderCompleted, OrderSellerRejected, OrderRefundCompleted, WalletCredited, WithdrawalApproved, WithdrawalRejected
- BuyerOutbid, AuctionWon
- ShipmentCreated, ShipmentDelivered
- ProductModerated
- User (Xác thực &amp; OTP): UserRegistered, OtpResent, PasswordResetRequested, PasswordResetCompleted, PasswordChanged, EmailChangeRequested, UserEmailChanged, UserCreatedByAdmin
- User (Gian hàng &amp; Khóa): SellerOnboardingSubmitted, SellerOtpResent, SellerRequestApproved, SellerRequestRejected, UserBanned, UserUnbanned
- User (Tố cáo &amp; Uy tín): UserReportSubmitted, UserReportResolved, UserReportDismissed, ReputationScoreAdjusted, PeerReviewSubmitted, ReviewHiddenByAdmin
Publish (Outbox nếu bị chặn):
- NotificationSuppressed</t>
  </si>
  <si>
    <t>200 OK | Product; Category; Variants[VariantId, SkuCode, Name, Price, Status, IsDefault, Attributes]; Images[ImageId, Url, AltText, IsActive, SortOrder, VariantId]; Rating[AvgRating, ReviewCount]. IsDefault = ProductVariants.IsActive. Tình trạng hàng ở đây là trạng thái bán (Status), số lượng tồn kho thuộc Fulfillment</t>
  </si>
  <si>
    <t>Lấy nhanh itemCount + subtotal cho icon giỏ. (EN: lightweight cart badge)</t>
  </si>
  <si>
    <t>API – GET /api/v1/carts/me/summary</t>
  </si>
  <si>
    <t>Header: Authorization</t>
  </si>
  <si>
    <t>Id đúng định dạng UUID; Buyer chỉ xem được sản phẩm ACTIVE chưa xóa; Seller xem được cả DRAFT và INACTIVE của chính mình; nếu có AuctionId và phiên đó thuộc đúng sản phẩm này thì vẫn trả sản phẩm đã INACTIVE do bán xong để người thắng và người từng đặt giá xem lại (đề xuất, chờ Auction chốt cách ẩn khỏi kho ảo)</t>
  </si>
  <si>
    <t>AUTH-02</t>
  </si>
  <si>
    <t>200 {itemCount, subtotalAmount}</t>
  </si>
  <si>
    <t>Fulfillment Service: lấy số lượng tồn kho theo variant nếu giao diện cần (thường ghép ở API Gateway, Catalog không giữ tồn kho). Auction Service (AUC-35): chỉ khi có AuctionId, xác nhận phiên thuộc sản phẩm</t>
  </si>
  <si>
    <t>Không (chỉ đọc)</t>
  </si>
  <si>
    <t>Có (Ghi inbox_messages + notifications + notification_deliveries + notification_logs + outbox_messages trong 1 Transaction)</t>
  </si>
  <si>
    <t>Read-only; đọc 2 cột denormalized carts.item_count, subtotal_amount (không join).</t>
  </si>
  <si>
    <t>System / Queue Worker</t>
  </si>
  <si>
    <t>Mọi vai trò (PRODUCT.VIEW)</t>
  </si>
  <si>
    <t>400 INVALID_ID; 404 PRODUCT_NOT_FOUND (cũng trả khi Buyer xem sản phẩm không ACTIVE)</t>
  </si>
  <si>
    <t>- EVT_DUPLICATED: Đã tồn tại(message_id, consumer) trong inbox_messages (bỏ qua &amp; ACK)
 - TEMPLATE_NOT_FOUND: Không có mẫu active tương ứng
 - USER_CONTACT_NOT_FOUND: Không lấy được thông tin liên hệ từ User Service</t>
  </si>
  <si>
    <t>—
 + Lỗi chung: 401/403/429/500 (xem sheet Error Codes)</t>
  </si>
  <si>
    <t>Sản phẩm DRAFT và INACTIVE ẩn với Buyer; chỉ trả ảnh và variant chưa xóa; AvgRating lấy từ ProductRatingStats</t>
  </si>
  <si>
    <t>NOTI-10 (ghi log kích hoạt)</t>
  </si>
  <si>
    <t>Trả 0 nếu chưa có cart (không auto-create). Có thể cache Redis ngắn hạn. itemCount = số dòng cart_items; subtotalAmount theo unit_price_snapshot (có thể khác tổng giá hiện tại ở CART-01).</t>
  </si>
  <si>
    <t>1. Cô lập lỗi (NFR §15): Chạy ở queue riêng biệt, lỗi tại đây tuyệt đối không làm rollback giao dịch Order/Payment.
 2. Khử trùng 2 lớp: chặn tại inbox_messages (message_id, consumer) và unique index uq_notifications_source_user_type (source_event_id, user_id, notification_type).
 3. Một event có thể sinh thông báo cho nhiều người nhận (VD: AuctionWon gửi cho cả Winner và Seller) và phân rã (fan-out) ra nhiều kênh (1 Email + N thiết bị Push active trong device_tokens).
 4. Kiểm tra notification_preferences: Nếu template.is_mandatory = true -&gt; luôn tạo delivery trạng thái PENDING. Nếu is_mandatory = false và user tắt kênh (hoặc kênh bị disable) -&gt; tạo delivery trạng thái SKIPPED và ghi notification_logs (action = SUPPRESSED).</t>
  </si>
  <si>
    <t>NOTI-11</t>
  </si>
  <si>
    <t>CART-09</t>
  </si>
  <si>
    <t>DispatchAndRetryDeliveryWorker</t>
  </si>
  <si>
    <t>Expire inactive carts / Job hết hạn giỏ hàng</t>
  </si>
  <si>
    <t>Background Worker quét các lượt gửi vật lý (PENDING hoặc tới hạn retry), gọi cổng SMTP/FCM/APNs để gửi tin và xử lý thử lại theo Exponential Backoff (#130, #138).</t>
  </si>
  <si>
    <t>Job đánh dấu giỏ không hoạt động là ABANDONED. (EN: abandon stale carts)</t>
  </si>
  <si>
    <t>Background Worker / Job</t>
  </si>
  <si>
    <t>CAT-06</t>
  </si>
  <si>
    <t>Scheduled – chạy mỗi giờ (@Scheduled + ShedLock)</t>
  </si>
  <si>
    <t>Danh sách sản phẩm</t>
  </si>
  <si>
    <t>- Trigger định kỳ hoặc tín hiệu nội bộ
 - Quét các bản ghi notification_deliveries có status IN (PENDING, FAILED) và (next_retry_at IS NULL OR next_retry_at &lt;= NOW())</t>
  </si>
  <si>
    <t>Config: CART_EXPIRATION_DAYS (7)</t>
  </si>
  <si>
    <t>Log số cart xử lý</t>
  </si>
  <si>
    <t>- attempt_count &lt; 3 (NOTIFICATION_RETRY_LIMIT = 3)
 - row_version khớp khi chiếm quyền xử lý</t>
  </si>
  <si>
    <t>Lấy danh sách sản phẩm có phân trang, tìm kiếm, lọc, sắp xếp. Seller dùng SellerId của mình để xem và quản lý sản phẩm của shop (kể cả DRAFT, INACTIVE, sản phẩm đấu giá). Buyer dùng SellerId để xem trang shop</t>
  </si>
  <si>
    <t>External Provider: SMTP / SendGrid (Email), Firebase FCM / Apple APNs (Push)</t>
  </si>
  <si>
    <t>- Chỉ cart ACTIVE, last_activity_at &lt; now() − 7 ngày
 - Bỏ qua cart có checkout_groups PENDING_PAYMENT / PAYMENT_PROCESSING</t>
  </si>
  <si>
    <t>Publish (qua Outbox):
 - NotificationSent (khi gửi thành công)
 - NotificationFailed (khi lỗi vĩnh viễn hoặc hết 3 lần retry)</t>
  </si>
  <si>
    <t>GET /api/v1/products | Query: Page; PageSize; Keyword; CategoryId; Status; SellerId; SaleType; SortBy; SortDir</t>
  </si>
  <si>
    <t>Có (Cập nhật notification_deliveries, notifications, device_tokens, ghi notification_logs &amp; outbox_messages)</t>
  </si>
  <si>
    <t>CartExpired (mỗi cart)</t>
  </si>
  <si>
    <t>System / Background Worker</t>
  </si>
  <si>
    <t>200 OK | Items[ProductId, Name, Brand, SaleType, MinPrice, MaxPrice, PrimaryImageUrl, AvgRating, Status, AuctionStatus, IsOpen, IsSold]; Page; PageSize; Total. Ba field cuối chỉ có khi SaleType = AUCTION và người gọi là chủ shop hoặc Admin (không có dữ liệu thì trả mảng rỗng, giao diện hiện No Data)</t>
  </si>
  <si>
    <t>Batch 500: SELECT … FOR UPDATE SKIP LOCKED → UPDATE status='ABANDONED' + outbox, commit từng batch.</t>
  </si>
  <si>
    <t>- OPTIMISTIC_LOCK_CONFLICT: row_version đã bị worker khác cập nhật (bỏ qua dòng này)
 - PROVIDER_TRANSIENT_ERROR: Lỗi mạng/5xx/timeout tạm thời
 - PROVIDER_PERMANENT_ERROR: Email không tồn tại / UNREGISTERED / BAD_DEVICE_TOKEN</t>
  </si>
  <si>
    <t>System</t>
  </si>
  <si>
    <t>Lỗi 1 batch không dừng job; log + metric.</t>
  </si>
  <si>
    <t>Page lớn hơn hoặc bằng 1; PageSize trong giới hạn (ví dụ tối đa 100); SortBy thuộc danh sách cho phép; Buyer hoặc người chưa đăng nhập chỉ thấy sản phẩm ACTIVE chưa xóa; Status chỉ có tác dụng khi SellerId trùng người đăng nhập hoặc Admin</t>
  </si>
  <si>
    <t>Không xoá dữ liệu (soft). Nhiều instance chạy đồng thời → dùng SKIP LOCKED/ShedLock. Cart ABANDONED không còn là 'active cart'. last_activity_at chỉ được cập nhật bởi CART-02/03/04/05/10 (không phải GET/validate).</t>
  </si>
  <si>
    <t>Auction Service (AUC-34): chỉ khi SaleType = AUCTION và người gọi là chủ shop, lấy trạng thái phiên gần nhất của từng sản phẩm để hiển thị và ẩn sản phẩm đã bán khỏi kho ảo. AUC-34 hiện nhận 1 productId, cần nhóm Auction thêm bản gọi theo lô</t>
  </si>
  <si>
    <t>1. Khóa lạc quan (Optimistic Concurrency): Trước khi gọi API bên thứ 3, cập nhật status = SENDING, row_version = row_version + 1 WHERE id = @id AND row_version = @ver.
 2. Nếu gửi thành công: đặt delivery.status = SENT, ghi notification_logs (action = SENT, level = INFO) và bắn event NotificationSent.
 3. Nếu gặp lỗi tạm thời và attempt_count &lt; 3: tăng attempt_count, đặt status = FAILED, tính next_retry_at theo Exponential Backoff: Lần 1 (+30s), Lần 2 (+120s), Lần 3 (+600s); ghi notification_logs (action = RETRY, level = WARN).
 4. Nếu gặp lỗi vĩnh viễn hoặc attempt_count &gt;= 3: đặt status = FAILED, next_retry_at = NULL, ghi notification_logs (action = FAILED, level = ERROR), bắn event NotificationFailed.
 5. Dọn token chết: Nếu FCM/APNs trả mã UNREGISTERED hoặc BAD_DEVICE_TOKEN, cập nhật ngay device_tokens.is_active = false.
 6. Cập nhật trạng thái bảng mẹ (notifications.status): Tất cả deliveries SENT -&gt; COMPLETED; có cả SENT và FAILED vĩnh viễn -&gt; PARTIAL; tất cả FAILED -&gt; FAILED.</t>
  </si>
  <si>
    <t>CART-10</t>
  </si>
  <si>
    <t>NOTI-12</t>
  </si>
  <si>
    <t>ConsumeAllEvents_WriteEventLog</t>
  </si>
  <si>
    <t>Merge guest cart on login / Gộp giỏ khách (OPTIONAL)</t>
  </si>
  <si>
    <t>Mọi vai trò (PRODUCT.LIST)</t>
  </si>
  <si>
    <t>Lắng nghe toàn bộ message event phát ra trên Message Bus từ 6 service để ghi nhận nhật ký sự kiện kỹ thuật vào bảng phân vùng event_logs (#132).</t>
  </si>
  <si>
    <t>Gộp giỏ localStorage/Redis của khách vào giỏ buyer sau login (CART_MERGE_ON_LOGIN).
 (EN: optional guest-cart merge)</t>
  </si>
  <si>
    <t>400 VALIDATION_FAILED; 401 UNAUTHORIZED (khi lọc theo sản phẩm của mình)</t>
  </si>
  <si>
    <t>Event Consumer</t>
  </si>
  <si>
    <t>API – POST /api/v1/carts/me/merge</t>
  </si>
  <si>
    <t>Loại bản ghi IsDeleted = true; Buyer chỉ thấy ACTIVE; Seller lọc SellerId = mình thì thấy cả DRAFT và INACTIVE; mặc định sắp xếp mới nhất</t>
  </si>
  <si>
    <t>- Raw Event Envelope từ RabbitMQ:
  + eventId (UUID)
  + eventType (string)
  + sourceService (Commerce | Auction | User | Catalog | Fulfillment | Notification)
  + actorId (UUID | null)
  + actorRole (string | null)
  + targetId (UUID | null)
  + occurredAt (timestamptz)
  + payload (jsonb)</t>
  </si>
  <si>
    <t>Body: {items:[{skuId, quantity}]}</t>
  </si>
  <si>
    <t>void (ACK message)</t>
  </si>
  <si>
    <t>200 {mergedCount, skippedItems:[{skuId, reason}], cart:{…}}</t>
  </si>
  <si>
    <t>- ≤ 50 item; mỗi item áp dụng rule của CART-02</t>
  </si>
  <si>
    <t>/api/v1/auth/otp/resend</t>
  </si>
  <si>
    <t>Ingest: Tất cả Domain Events trên hệ thống (routing key #)</t>
  </si>
  <si>
    <t>Có (Insert append-only vào bảng event_logs)</t>
  </si>
  <si>
    <t>Catalog, Fulfillment (như CART-02).</t>
  </si>
  <si>
    <t>Dùng gửi otp cho đăng kí và cả quên mật khẩu</t>
  </si>
  <si>
    <t>CartItemAdded</t>
  </si>
  <si>
    <t>CAT-07</t>
  </si>
  <si>
    <t>1. Phân biệt rõ với Audit Service (#07): event_logs tại Notification chỉ lưu vết kỹ thuật message bus trong 90 ngày (V2-4), khác với audit_logs bất biến vĩnh viễn của Audit Service.
 2. Bảng event_logs là Append-only (không bao giờ UPDATE), phân vùng theo tháng dựa trên cột occurred_at (PK: id, occurred_at).</t>
  </si>
  <si>
    <t>1 local TX như CART-02 (cộng dồn, cắt theo tồn kho). Kiểm tra CART_LOCKED như CART-02.</t>
  </si>
  <si>
    <t>{
  "email": "string",
  "type": "string: \"REGISTER\" | \"FORGOT_PASSWORD\""
}</t>
  </si>
  <si>
    <t>Thêm variant (SKU)</t>
  </si>
  <si>
    <t>NOTI-13</t>
  </si>
  <si>
    <t>Thêm một biến thể mới (màu, dung lượng...) cho sản phẩm bán thường đã có. Sản phẩm bán đấu giá chỉ có 1 variant nên không thêm được.</t>
  </si>
  <si>
    <t>GetEventLogs</t>
  </si>
  <si>
    <t>GET /api/v1/admin/event-logs
 Xem danh sách nhật ký sự kiện hệ thống có phân trang và bộ lọc để điều tra lỗi kỹ thuật và vận hành (#133).</t>
  </si>
  <si>
    <t>POST /api/v1/products/{id}/variants | Body: SkuCode; Name; Price; Currency; Attributes[AttrName, AttrValue]</t>
  </si>
  <si>
    <t>DB carts.buyer_id NOT NULL nên KHÔNG lưu guest cart trong DB; guest cart nằm ở client. ALLOW_GUEST_CART=true của SRS chỉ đúng với client-side (xem sheet Design Decisions #5).</t>
  </si>
  <si>
    <t>201 Created | VariantId; SkuCode; Status</t>
  </si>
  <si>
    <t>- Query:
  + sourceService (string, optional)
  + eventType (string, optional)
  + actorId (UUID, optional)
  + eventId (UUID, optional)
  + fromOccurredAt (timestamptz, default NOW() - 7 days)
  + toOccurredAt (timestamptz, default NOW())
  + pageIndex (int, default 1)
  + pageSize (int, default 20, max 100)</t>
  </si>
  <si>
    <t>{
  "msg": "Mã OTP mới đã được gửi tới email của bạn",
  "data": {
    "email": "string",
    "resendCooldown": "int: 60"
  }
}</t>
  </si>
  <si>
    <t>CART-11</t>
  </si>
  <si>
    <t>200 OK
 {
  "total": "int",
  "items": [
  {
  "id": "UUID",
  "eventId": "UUID",
  "eventType": "string",
  "sourceService": "string",
  "actorId": "UUID | null",
  "actorRole": "string | null",
  "targetId": "UUID | null",
  "occurredAt": "timestamptz"
  }
  ]
 }</t>
  </si>
  <si>
    <t>Cleanup on Product/User events / Dọn giỏ theo sự kiện</t>
  </si>
  <si>
    <t>Sản phẩm tồn tại, chưa xóa và có SaleType = REGULAR (sản phẩm AUCTION bị từ chối); SkuCode duy nhất (trong các variant chưa xóa); Price bắt buộc và lớn hơn 0; Attributes dùng cùng AttrName với các variant khác của sản phẩm</t>
  </si>
  <si>
    <t>- fromOccurredAt &lt;= toOccurredAt
 - Khoảng thời gian tra cứu nằm trong giới hạn lưu trữ 90 ngày
 - pageSize từ 1 đến 100</t>
  </si>
  <si>
    <t>Consumer xử lý ProductDeleted, ProductStatusChanged(INACTIVE), UserDeleted.
 (EN: event consumer for cart cleanup)</t>
  </si>
  <si>
    <t>Không (Chỉ đọc: event_logs)</t>
  </si>
  <si>
    <t>Event consumer – topics: catalog.*, user.*</t>
  </si>
  <si>
    <t>Có: ghi ProductVariants, ProductVariantAttributes, AuditLogs trong 1 transaction</t>
  </si>
  <si>
    <t>Event: {eventId, eventType, productId|userId, occurredAt}</t>
  </si>
  <si>
    <t>ACK (hoặc retry/DLQ)</t>
  </si>
  <si>
    <t>400 VALIDATION_FAILED; 403 FORBIDDEN; 404 PRODUCT_NOT_FOUND; 409 SKU_DUPLICATED</t>
  </si>
  <si>
    <t>- Dedupe bằng inbox_messages (message_id, consumer)</t>
  </si>
  <si>
    <t>1. Mọi truy vấn bắt buộc phải gắn điều kiện lọc trên cột occurred_at để PostgreSQL thực hiện Partition Pruning (chỉ quét đúng phân vùng tháng).
 2. Mặc định sắp xếp occurred_at DESC (mới nhất trước).
 3. Nếu không có bản ghi khớp điều kiện -&gt; trả danh sách rỗng (UI hiển thị "No Data").</t>
  </si>
  <si>
    <t>Variant thêm sau không phải variant mặc định; sản phẩm REGULAR đang ACTIVE thì variant ACTIVE phải có giá lớn hơn 0; ProductVariants.Id chính là SkuId mà Fulfillment, Commerce, Auction dùng</t>
  </si>
  <si>
    <t>NOTI-14</t>
  </si>
  <si>
    <t>GetEventLogDetail</t>
  </si>
  <si>
    <t>— (consume ProductDeleted, ProductStatusChanged, UserDeleted)</t>
  </si>
  <si>
    <t>GET /api/v1/admin/event-logs/{id}
 Xem chi tiết toàn bộ nội dung JSON payload và metadata của một bản ghi sự kiện cụ thể (#134).</t>
  </si>
  <si>
    <t>- Path: id (UUID)
 - Query: occurredAt (timestamptz, optional - hỗ trợ định vị nhanh partition)</t>
  </si>
  <si>
    <t>1 local TX: INSERT inbox (PK conflict → bỏ qua) + DELETE cart_items WHERE product_id=? (ProductDeleted) hoặc UPDATE carts SET status='ABANDONED', deleted_at=now() (UserDeleted) + recalc carts.item_count/subtotal_amount của các cart bị ảnh hưởng + mark inbox PROCESSED.</t>
  </si>
  <si>
    <t>200 OK
 {
  "id": "UUID",
  "eventId": "UUID",
  "eventType": "string",
  "sourceService": "string",
  "actorId": "UUID | null",
  "actorRole": "string | null",
  "targetId": "UUID | null",
  "payload": "jsonb (full raw envelope &amp; data)",
  "occurredAt": "timestamptz",
  "createdAt": "timestamptz"
 }</t>
  </si>
  <si>
    <t>Lỗi tạm → retry backoff, quá N lần → inbox.status=FAILED → DLQ.</t>
  </si>
  <si>
    <t>CAT-08</t>
  </si>
  <si>
    <t>Sửa variant</t>
  </si>
  <si>
    <t>INACTIVE: không xoá, chỉ hiển thị cờ INACTIVE ở CART-01. Consumer phải idempotent (at-least-once). Xoá theo product_id chia batch (vd 500 cart/TX) để tránh TX dài.</t>
  </si>
  <si>
    <t>Sửa tên, giá, thuộc tính của một variant.</t>
  </si>
  <si>
    <t>- 401 UNAUTHORIZED
 - 403 FORBIDDEN
 - 404 EVENT_LOG_NOT_FOUND: Không tìm thấy bản ghi (hoặc đã quá 90 ngày bị dọn dẹp)</t>
  </si>
  <si>
    <t>CHK-01</t>
  </si>
  <si>
    <t>PATCH /api/v1/variants/{id} | Body: Name; Price; Currency; Attributes[AttrName, AttrValue]</t>
  </si>
  <si>
    <t>1. Trả về nguyên bản JSON payload để kỹ thuật viên lần vết dữ liệu giữa các microservice.
 2. Nếu client truyền kèm occurredAt thì query trực tiếp vào partition tháng đó để tối ưu tốc độ.</t>
  </si>
  <si>
    <t>Checkout preview / Xem trước thanh toán</t>
  </si>
  <si>
    <t>200 OK | Thông tin variant sau khi cập nhật</t>
  </si>
  <si>
    <t>NOTI-15</t>
  </si>
  <si>
    <t>Tính chi tiết tiền theo từng seller, áp voucher, báo giá ship – chưa ghi DB.
 (EN: price breakdown without persisting)</t>
  </si>
  <si>
    <t>Variant tồn tại và chưa xóa; sản phẩm REGULAR: Price bắt buộc và lớn hơn 0; sản phẩm AUCTION: Price phải để trống; Attributes dùng cùng bộ AttrName</t>
  </si>
  <si>
    <t>API – POST /api/v1/checkout/preview</t>
  </si>
  <si>
    <t>Body: {cartItemIds?:[uuid], shippingAddress:{receiverName, street, ward, district, province, ghnDistrictId, ghnWardCode}, contactPhone, paymentMethod: WALLET|VNPAY, carrierCode?, vouchers:{system?:code, shops:[{sellerId, code}], products:[{skuId, code}]}}</t>
  </si>
  <si>
    <t>Có: cập nhật ProductVariants, ProductVariantAttributes, AuditLogs trong 1 transaction</t>
  </si>
  <si>
    <t>200 {orders:[{sellerId, items[], itemsAmount, productDiscountAmount, shopDiscountAmount, platformMarkupAmount, systemDiscountAmount, shippingFeeAmount, totalAmount, shippingOptions[], quoteId}], grandTotal, appliedVouchers[], invalidVouchers:[{code, reason}], walletBalance?, warnings[]}</t>
  </si>
  <si>
    <t>CheckMessageBrokerHealthJob</t>
  </si>
  <si>
    <t>400 VALIDATION_FAILED; 403 FORBIDDEN; 404 VARIANT_NOT_FOUND</t>
  </si>
  <si>
    <t>- Cart không rỗng, các item hợp lệ (CART-06)
 - shippingAddress đủ trường; contactPhone regex VN (^(0|\+84)\d{9}$)
 - paymentMethod ∈ {WALLET, VNPAY} (COD chưa hỗ trợ MVP)
 - Voucher sai KHÔNG làm fail preview, đưa vào invalidVouchers</t>
  </si>
  <si>
    <t>Đổi giá không ảnh hưởng đơn đã tạo vì đơn lưu snapshot giá (SRS 3.4.3.1); Cart tính lại giá khi checkout; đề xuất không cho đổi SkuCode khi HasOrder = true</t>
  </si>
  <si>
    <t>Catalog (giá). Fulfillment: shipping quote theo seller (SHIPPING_API_TIMEOUT_MS=3000). Payment: GET /internal/v1/wallets/{userId}/balance (nếu WALLET).</t>
  </si>
  <si>
    <t>Job định kỳ kiểm tra kết nối, đo độ trễ (latency_ms) và độ sâu hàng đợi (queue_depth) của RabbitMQ Broker (#137).</t>
  </si>
  <si>
    <t>AUTH-03</t>
  </si>
  <si>
    <t>ShippingQuoteRequested (do Fulfillment phát)</t>
  </si>
  <si>
    <t>Background Job (Scheduled)</t>
  </si>
  <si>
    <t>- Chạy định kỳ theo cấu hình (mặc định mỗi 30 - 60 giây)</t>
  </si>
  <si>
    <t>NOTI-10 (gửi lại OTP)</t>
  </si>
  <si>
    <t>CHECKOUT.START / Buyer</t>
  </si>
  <si>
    <t>- Bản ghi trạng thái sức khỏe (UP | DEGRADED | DOWN)</t>
  </si>
  <si>
    <t>409 CART_EMPTY; 409 CART_INVALID (kèm chi tiết); Quote ship lỗi → KHÔNG trả 503: trả 200 + shippingFeeAmount=null + warnings[SHIPPING_QUOTE_UNAVAILABLE] (cho chọn lại)
 + Lỗi chung: 401/403/429/500 (xem sheet Error Codes)</t>
  </si>
  <si>
    <t>RabbitMQ Broker (Ping connection &amp; Management API lấy queue_depth)</t>
  </si>
  <si>
    <t>CAT-09</t>
  </si>
  <si>
    <t>Đổi trạng thái variant</t>
  </si>
  <si>
    <t>Publish (qua Outbox khi đổi trạng thái):
 - BrokerHealthChanged</t>
  </si>
  <si>
    <t>Tách order theo seller. CHECKOUT_PRICE_REVALIDATION=true. Quote ship lỗi → không chặn preview nhưng chặn CHK-02. Trả quoteId (TTL ngắn) lưu phí ship đã báo để CHK-02 dùng lại, không gọi lại carrier (SLA tạo order ≤ 1.5s).</t>
  </si>
  <si>
    <t>Tạm ngưng hoặc mở bán lại riêng một variant, kèm lý do khi ngưng.</t>
  </si>
  <si>
    <t>Có (Ghi bảng broker_health_checks và outbox_messages)</t>
  </si>
  <si>
    <t>CHK-02</t>
  </si>
  <si>
    <t>PATCH /api/v1/variants/{id}/status | Body: Status; StatusReason</t>
  </si>
  <si>
    <t>200 OK | VariantId; Status; StatusReason</t>
  </si>
  <si>
    <t>Create checkout (group + orders) / Tạo checkout và đơn hàng</t>
  </si>
  <si>
    <t>- BROKER_UNREACHABLE: Mất kết nối tới RabbitMQ (bắt exception và ghi nhận status = DOWN, không làm crash worker)</t>
  </si>
  <si>
    <t>Tạo 1 checkout_group + N orders (mỗi seller 1 order, status PENDING_PAYMENT), giữ tồn kho và voucher.
 (EN: create checkout group and split orders, reserve inventory &amp; vouchers)</t>
  </si>
  <si>
    <t>Status thuộc ACTIVE hoặc INACTIVE; INACTIVE bắt buộc có StatusReason thuộc OUT_OF_STOCK, DISCONTINUED, OTHER; ACTIVE thì StatusReason phải trống; không tắt variant cuối cùng còn bán khi sản phẩm đang ACTIVE</t>
  </si>
  <si>
    <t>API – POST /api/v1/checkout</t>
  </si>
  <si>
    <t>1. Phân loại trạng thái: UP (kết nối tốt, latency và queue_depth trong ngưỡng); DEGRADED (kết nối được nhưng latency cao hoặc queue_depth vượt ngưỡng cảnh báo consumer tụt hậu); DOWN (mất kết nối hoàn toàn).
 2. Ghi nhận cả mốc phát hiện lỗi và mốc hồi phục vào broker_health_checks.
 3. Nếu status hiện tại khác với status của lần đo liền trước -&gt; tạo sự kiện BrokerHealthChanged vào outbox_messages.</t>
  </si>
  <si>
    <t>Header: Idempotency-Key: &lt;uuid&gt; (bắt buộc)
 Body: như CHK-01 + expectedGrandTotal, quoteId (từ CHK-01)</t>
  </si>
  <si>
    <t>Có: cập nhật ProductVariants và ghi AuditLogs trong 1 transaction</t>
  </si>
  <si>
    <t>201 {checkoutGroupId, status:'PENDING_PAYMENT', totalAmount, paymentDeadlineAt, orders:[{orderId, orderNo, sellerId, totalAmount, status}]}
 Replay cùng key → trả lại đúng response đã lưu.</t>
  </si>
  <si>
    <t>NOTI-16</t>
  </si>
  <si>
    <t>400 VALIDATION_FAILED; 403 FORBIDDEN; 404 VARIANT_NOT_FOUND; 409 LAST_ACTIVE_VARIANT</t>
  </si>
  <si>
    <t>/api/v1/auth/login</t>
  </si>
  <si>
    <t>GetBrokerHealthStatus</t>
  </si>
  <si>
    <t>GET /api/v1/admin/health/broker
 Màn hình dành cho Admin và Support Staff theo dõi trạng thái sức khỏe hiện tại và lịch sử đo lường của Message Broker (#136).</t>
  </si>
  <si>
    <t>OUT_OF_STOCK do seller tự chọn vì Catalog không biết tồn kho; thông thường hết hàng không cần đổi Status vì Fulfillment đã có số lượng và giao diện tự hiện Hết hàng</t>
  </si>
  <si>
    <t>Đăng nhập hệ thống (Email + Password)</t>
  </si>
  <si>
    <t>- Idempotency-Key UUID; cùng key + request_hash khác → 422
 - expectedGrandTotal == tổng tính lại (lệch → 409 PRICE_CHANGED + giá mới)
 - Cart ACTIVE của buyer; chưa có checkout PENDING_PAYMENT cho cart (partial unique index)
 - Item hợp lệ (CART-06), địa chỉ + phone hợp lệ
 - Buyer không bị khoá / reputation đủ (FEATURE_REPUTATION_ENFORCEMENT)
 - Voucher: ACTIVE, trong thời gian, đủ min_order_amount, còn lượt</t>
  </si>
  <si>
    <t>- Query:
  + status (UP | DEGRADED | DOWN, optional)
  + from, to (timestamptz, optional)
  + limit (int, default 50, max 200)</t>
  </si>
  <si>
    <t>{
  "identifier": "string (email hoặc username)",
  "password": "string",
  "device_info": "string: browser, OS",
  "ip_address": "string"
}</t>
  </si>
  <si>
    <t>200 OK
 {
  "currentStatus": "UP | DEGRADED | DOWN",
  "lastCheckedAt": "timestamptz",
  "latestLatencyMs": "int | null",
  "latestQueueDepth": "int | null",
  "history": [
  {
  "id": "UUID",
  "brokerName": "rabbitmq",
  "status": "string",
  "latencyMs": "int | null",
  "queueDepth": "int | null",
  "detail": "string | null",
  "checkedAt": "timestamptz"
  }
  ]
 }</t>
  </si>
  <si>
    <t>- status thuộc [UP, DEGRADED, DOWN] nếu có truyền
 - limit từ 1 đến 200</t>
  </si>
  <si>
    <t>Catalog (re-price). User Service: GET /internal/v1/users/{id}/status-trust. Fulfillment: POST /internal/v1/inventory/reservations — 1 lần cho cả checkout group, all-or-nothing {referenceId=checkoutGroupId, lines:[{orderId, skuId, qty}], expiresAt} (idempotent theo referenceId; Fulfillment tự chọn kho theo SRS 3.6.1.8, Commerce KHÔNG truyền warehouseId). Phí ship dùng lại từ quoteId của CHK-01 (quote hết hạn mới gọi lại Fulfillment).</t>
  </si>
  <si>
    <t>Không (Chỉ đọc: broker_health_checks)</t>
  </si>
  <si>
    <t>CheckoutStarted, OrderCreated (mỗi order). Fulfillment phát InventoryReserved.</t>
  </si>
  <si>
    <t>Admin, Support Staff (SYSTEM.HEALTH.VIEW)</t>
  </si>
  <si>
    <t>{
  "msg": "Đăng nhập thành công",
  "data": {
    "accessToken": "string",
    "refreshToken": "string",
    "tokenType": "Bearer",
    "expiresIn": 3600,
    "user": {
      "id": "uuid",
      "email": "string",
      "username": "string | null",
      "firstName": "string",
      "lastName": "string",
      "roles": "string[]",
      "permissions": "string[]"
    }
  }
}</t>
  </si>
  <si>
    <t>CAT-10</t>
  </si>
  <si>
    <t>- 401 UNAUTHORIZED
 - 403 FORBIDDEN</t>
  </si>
  <si>
    <t>Đặt variant mặc định</t>
  </si>
  <si>
    <t>1. Lấy bản ghi mới nhất theo index ix_broker_health_checks_checked_at (checked_at DESC) làm trạng thái hiện tại.
 2. Hiển thị danh sách lịch sử các mốc đo, đặc biệt làm nổi bật các mốc chuyển trạng thái lỗi (DOWN/DEGRADED) và hồi phục (UP).</t>
  </si>
  <si>
    <t>Chọn variant hiển thị mặc định (giá, ảnh) khi khách chưa chọn phiên bản.</t>
  </si>
  <si>
    <t>NOTI-17</t>
  </si>
  <si>
    <t>PUT /api/v1/products/{id}/default-variant | Body: VariantId</t>
  </si>
  <si>
    <t>Saga (CheckoutSaga trong saga_state):
 TX-1 (local ACID): insert idempotency_keys → checkout_groups → gán order_no (sinh TRƯỚC khi mở TX-1 bằng ORD-17) → orders + order_items → order_status_history(null→PENDING_PAYMENT) → reserve voucher (DSC-03) → saga_state=INVENTORY_RESERVING → outbox. COMMIT.
 Bước 2 (ngoài TX): gọi reserve inventory (1 lần cho cả group). OK → TX-2: saga_state=AWAITING_PAYMENT + UPDATE idempotency_keys (response 201 + body) → trả 201. Fail → TX-3 compensate: orders/group CANCELLED(reason OUT_OF_STOCK), release voucher, release inventory đã giữ + UPDATE idempotency_keys (response 409 INSUFFICIENT_STOCK). Crash giữa TX-1 và TX-2/TX-3 → ORD-21 hoàn tất saga và finalize idempotency_keys (tránh REQUEST_IN_PROGRESS vĩnh viễn).</t>
  </si>
  <si>
    <t>RetentionCleanupAndPartitionJob</t>
  </si>
  <si>
    <t>200 OK | ProductId; DefaultVariantId</t>
  </si>
  <si>
    <t>CHECKOUT.START + ORDER.CREATE / Buyer</t>
  </si>
  <si>
    <t>Job định kỳ hàng ngày tự động tạo trước partition tháng mới và dọn dẹp dữ liệu event_logs quá hạn 90 ngày cùng các bảng hạ tầng (#139).</t>
  </si>
  <si>
    <t>Background Job (Cronjob)</t>
  </si>
  <si>
    <t>Variant thuộc đúng sản phẩm; variant chưa xóa và đang ACTIVE; sản phẩm AUCTION chỉ có 1 variant (luôn là mặc định) nên không cần gọi</t>
  </si>
  <si>
    <t>- Chạy định kỳ hàng ngày vào giờ thấp điểm (VD: 02:00 AM UTC)</t>
  </si>
  <si>
    <t>400 VALIDATION_ERROR; 409 PRICE_CHANGED; 409 CART_INVALID; 409 CHECKOUT_ALREADY_PENDING; 409 INSUFFICIENT_STOCK; 409 VOUCHER_INVALID | VOUCHER_LIMIT_REACHED; 403 REPUTATION_RESTRICTED; 422 IDEMPOTENCY_KEY_REUSED; 409 REQUEST_IN_PROGRESS; 503 FULFILLMENT_UNAVAILABLE
 + Lỗi chung: 401/403/429/500 (xem sheet Error Codes)</t>
  </si>
  <si>
    <t>Có: đặt IsActive = false cho variant mặc định cũ rồi IsActive = true cho variant mới trong cùng transaction (đúng thứ tự để không vi phạm ràng buộc duy nhất)</t>
  </si>
  <si>
    <t>1 cart nhiều seller → 1 group + N orders. payment_deadline_at = now + CHECKOUT_TIMEOUT_MINUTES (15). Reservation expiresAt = deadline + 2' buffer (Commerce là nguồn sự thật). Mọi số tiền/snapshot (tên, SKU, thuộc tính, ảnh, địa chỉ) đóng băng vào orders/order_items. group.total = Σ orders.total. order_no ORD-YYYYMMDD-NNNNNN. Cart chưa bị xoá cho tới khi thanh toán thành công. API chờ bước reserve xong rồi mới trả 201 (hoặc 409 INSUFFICIENT_STOCK).</t>
  </si>
  <si>
    <t>Có (Thực thi DDL/DML trên event_logs, outbox_messages, inbox_messages)</t>
  </si>
  <si>
    <t>CHK-03</t>
  </si>
  <si>
    <t>System / Cronjob</t>
  </si>
  <si>
    <t>Mỗi sản phẩm có đúng 1 variant mặc định (cờ IsActive của ProductVariants); variant đầu tiên khi tạo sản phẩm tự là mặc định</t>
  </si>
  <si>
    <t>Pay checkout group / Thanh toán nhóm đơn</t>
  </si>
  <si>
    <t>Yêu cầu Payment Service thu tiền cho cả checkout group (ví hoặc VNPay).
 (EN: initiate payment via the separate Payment Service)</t>
  </si>
  <si>
    <t>API – POST /api/v1/checkout-groups/{checkoutGroupId}/pay</t>
  </si>
  <si>
    <t>1. Quản lý Partition event_logs (V2-4 - TTL 90 ngày):
  - Tự động tạo trước partition cho tháng kế tiếp (event_logs_pYYYYMM) nếu chưa tồn tại.
  - Xóa các dòng lẻ có occurred_at &lt; NOW() - INTERVAL '90 days' nằm ở partition tháng biên.
  - Thực thi lệnh DROP TABLE event_logs_p&lt;YYYYMM&gt; đối với các partition tháng mà toàn bộ khoảng thời gian đã cũ hơn 90 ngày để giải phóng đĩa tức thì.
 2. Dọn dẹp bảng hạ tầng (§14 hợp đồng):
  - Xóa các dòng trong outbox_messages có status = PUBLISHED và published_at &lt; NOW() - INTERVAL '7 days'.
  - Xóa các dòng trong inbox_messages có status = PROCESSED và processed_at &lt; NOW() - INTERVAL '30 days'.</t>
  </si>
  <si>
    <t>Header: Idempotency-Key
 Body: {paymentMethod: WALLET|VNPAY, returnUrl?}</t>
  </si>
  <si>
    <t>CAT-11</t>
  </si>
  <si>
    <t>NOTI-18</t>
  </si>
  <si>
    <t>Xóa variant</t>
  </si>
  <si>
    <t>Xóa mềm một variant khi chưa có đơn.</t>
  </si>
  <si>
    <t>WALLET: 202 {status:'PAYMENT_PROCESSING'} — KHÔNG trả PAID đồng bộ; PAID chỉ do PAY-01 set (FE poll CHK-04)
 VNPAY: 202 {status:'PAYMENT_PROCESSING', paymentUrl, expiresAt}</t>
  </si>
  <si>
    <t>DELETE /api/v1/variants/{id}</t>
  </si>
  <si>
    <t>AUTH-04</t>
  </si>
  <si>
    <t>PublishOutboxMessagesJob</t>
  </si>
  <si>
    <t>- Group thuộc buyer
 - status = PENDING_PAYMENT và now &lt; payment_deadline_at
 - saga_state = AWAITING_PAYMENT (đã giữ tồn kho)
 - returnUrl thuộc whitelist domain
 - Chưa vượt PAYMENT_RETRY_LIMIT (3) — đếm bằng saga_state.state_data.paymentAttempts (hoặc cột checkout_groups.payment_attempt_count)</t>
  </si>
  <si>
    <t>Variant tồn tại và chưa xóa; không phải variant cuối cùng của sản phẩm; HasOrder = false</t>
  </si>
  <si>
    <t>Payment Service: POST /internal/v1/payments {referenceType:'CHECKOUT_GROUP', referenceId, payerId, amount, method, returnUrl, idempotencyKey}. Timeout → retry tối đa 3 lần cùng idempotencyKey.</t>
  </si>
  <si>
    <t>Background Poller quét các sự kiện trong bảng outbox_messages của Notification Service để phát lên RabbitMQ đảm bảo Transactional Outbox Pattern.</t>
  </si>
  <si>
    <t>Commerce Service: kiểm tra lại đơn hàng lần cuối (tùy chọn)</t>
  </si>
  <si>
    <t>Background Worker / Outbox</t>
  </si>
  <si>
    <t>— (kết quả về qua PAY-01). Tuỳ chọn: PaymentInitiated</t>
  </si>
  <si>
    <t>ProductUpdated (hoặc ProductDeleted, nhóm chốt)</t>
  </si>
  <si>
    <t>- Quét định kỳ mỗi 1-5 giây các bản ghi outbox_messages có status IN (PENDING, FAILED) và retry_count &lt; 5 theo thứ tự created_at ASC</t>
  </si>
  <si>
    <t>Có: IsDeleted = true cho variant; nếu là variant mặc định thì chuyển cờ sang variant còn lại; ghi AuditLogs trong 1 transaction</t>
  </si>
  <si>
    <t>Local TX ngắn: lock group (optimistic row_version) → set orders.payment_method → group.status=PAYMENT_PROCESSING → paymentAttempts+1 → saga_state=PAYMENT_PENDING → COMMIT. Gọi Payment NGOÀI TX. Giao dịch ví nằm trong TX của Payment Service (distributed → eventual consistency). Kết quả mơ hồ (timeout) → giữ PAYMENT_PROCESSING, đối soát bằng PAY-01 + job reconcile gọi GET /internal/v1/payments?referenceId=.</t>
  </si>
  <si>
    <t>CHECKOUT.PAY (NEW) / Buyer</t>
  </si>
  <si>
    <t>403 FORBIDDEN; 404 VARIANT_NOT_FOUND; 409 LAST_VARIANT; 409 VARIANT_HAS_ORDER</t>
  </si>
  <si>
    <t>Mỗi sản phẩm phải có ít nhất 1 variant; variant đã có đơn thì chỉ cho chuyển INACTIVE; xóa mềm, không xóa hẳn</t>
  </si>
  <si>
    <t>RabbitMQ Broker (Publish message tới Exchange)</t>
  </si>
  <si>
    <t>404 CHECKOUT_NOT_FOUND; 409 CHECKOUT_NOT_PAYABLE; 410 CHECKOUT_EXPIRED; 402 INSUFFICIENT_WALLET_BALANCE; 409 PAYMENT_RETRY_LIMIT_EXCEEDED; 502 PAYMENT_GATEWAY_ERROR (Payment timeout → trả 202 PAYMENT_PROCESSING, không phải lỗi)
 + Lỗi chung: 401/403/429/500 (xem sheet Error Codes)</t>
  </si>
  <si>
    <t>Publish:
 - NotificationSent
 - NotificationFailed
 - NotificationSuppressed
 - BrokerHealthChanged</t>
  </si>
  <si>
    <t>Có (Cập nhật bảng outbox_messages)</t>
  </si>
  <si>
    <t>Commerce KHÔNG tự trừ tiền, chỉ điều phối + lưu wallet_transaction_id (cross-service ref). Payment luôn idempotent theo (referenceType, referenceId, attempt). Không cho huỷ group khi đang PAYMENT_PROCESSING. Mỗi lần buyer thử thanh toán lại dùng Idempotency-Key mới và attempt = n+1 gửi sang Payment; retry kỹ thuật (timeout) dùng lại cùng key + attempt.</t>
  </si>
  <si>
    <t>/api/v1/auth/refresh</t>
  </si>
  <si>
    <t>CHK-04</t>
  </si>
  <si>
    <t>CAT-12</t>
  </si>
  <si>
    <t>Làm mới Token ngầm (Refresh Token Rotation - RTR)</t>
  </si>
  <si>
    <t>Thêm ảnh sản phẩm</t>
  </si>
  <si>
    <t>1. Sử dụng partial index ix_outbox_pending (WHERE published_at IS NULL) để quét nhanh.
 2. Khi publish thành công: cập nhật status = PUBLISHED, published_at = NOW().
 3. Khi lỗi: tăng retry_count, lưu last_error, đặt status = FAILED. Nếu vượt quá ngưỡng thử lại tối đa -&gt; chuyển status = DEAD để cảnh báo kỹ thuật viên xử lý.</t>
  </si>
  <si>
    <t>Get checkout group / Xem trạng thái checkout</t>
  </si>
  <si>
    <t>{
  "refresh_token": "string",
  "device_info": "string: browser, OS"
}</t>
  </si>
  <si>
    <t>Tải một hoặc nhiều ảnh lên object storage và lưu đường dẫn vào ProductImages. Ảnh có VariantId là ảnh riêng của variant, không có là ảnh chung của sản phẩm</t>
  </si>
  <si>
    <t>Dùng để polling sau khi redirect VNPay. (EN: checkout status polling)</t>
  </si>
  <si>
    <t>API – GET /api/v1/checkout-groups/{checkoutGroupId}</t>
  </si>
  <si>
    <t>{
  "msg": "Làm mới phiên làm việc thành công",
  "data": {
    "accessToken": "string",
    "refreshToken": "string",
    "expiresIn": 3600
  }
}</t>
  </si>
  <si>
    <t>Path: checkoutGroupId</t>
  </si>
  <si>
    <t>POST /api/v1/products/{id}/images | multipart/form-data: Files[] (1 hoặc nhiều file); VariantId (tùy chọn); AltText; IsActive</t>
  </si>
  <si>
    <t>201 Created | Items[ImageId, Url, IsActive, SortOrder]</t>
  </si>
  <si>
    <t>200 {id, status, totalAmount, paymentMethod, paymentDeadlineAt, walletTransactionId, orders:[{orderId, orderNo, status, totalAmount}]}</t>
  </si>
  <si>
    <t>- Group thuộc buyer (không thì 404)</t>
  </si>
  <si>
    <t>Sản phẩm tồn tại, chưa xóa và thuộc seller đang thao tác (hoặc Admin); tổng số ảnh chưa xóa sau khi thêm không vượt 5 (MAX_PRODUCT_IMAGES); định dạng jpg, png hoặc webp; dung lượng tối đa (nhóm chốt); VariantId nếu có phải thuộc sản phẩm; một lần thêm nhiều ảnh thì chỉ nhận khi tất cả hợp lệ</t>
  </si>
  <si>
    <t>Object storage (S3 hoặc MinIO): tải file lên</t>
  </si>
  <si>
    <t>Read-only.</t>
  </si>
  <si>
    <t>ORDER.VIEW / Buyer (own)</t>
  </si>
  <si>
    <t>Không hoàn toàn: upload file trước rồi ghi ProductImages; nếu ghi DB lỗi thì xóa file vừa upload (thao tác bù)</t>
  </si>
  <si>
    <t>404 CHECKOUT_NOT_FOUND
 + Lỗi chung: 401/403/429/500 (xem sheet Error Codes)</t>
  </si>
  <si>
    <t>400 INVALID_FILE; 403 FORBIDDEN; 404 PRODUCT_NOT_FOUND; 409 IMAGE_LIMIT_EXCEEDED; 502 STORAGE_ERROR</t>
  </si>
  <si>
    <t>Cần định nghĩa status group: PENDING_PAYMENT | PAYMENT_PROCESSING | PAID | CANCELLED | EXPIRED (gap #16). FE poll 2–3s, tối đa ~2 phút.</t>
  </si>
  <si>
    <t>MAX_PRODUCT_IMAGES = 5 tính cả ảnh chung và ảnh riêng của variant; ảnh đầu tiên tự là ảnh đại diện; kiểm tra giới hạn trong transaction có khóa dòng sản phẩm để tránh thêm đồng thời vượt 5; DB không lưu file, chỉ lưu Url</t>
  </si>
  <si>
    <t>CHK-05</t>
  </si>
  <si>
    <t>Cancel checkout group / Huỷ checkout chưa thanh toán</t>
  </si>
  <si>
    <t>Buyer huỷ toàn bộ group khi chưa trả tiền. (EN: cancel unpaid checkout)</t>
  </si>
  <si>
    <t>API – POST /api/v1/checkout-groups/{checkoutGroupId}/cancel</t>
  </si>
  <si>
    <t>Body: {reasonCode, reasonNote?}</t>
  </si>
  <si>
    <t>200 {status:'CANCELLED'}</t>
  </si>
  <si>
    <t>CAT-13</t>
  </si>
  <si>
    <t>Xóa ảnh sản phẩm</t>
  </si>
  <si>
    <t>- status = PENDING_PAYMENT (không phải PAYMENT_PROCESSING)
 - reasonCode hợp lệ</t>
  </si>
  <si>
    <t>Xóa mềm một hoặc nhiều ảnh và xóa file trên storage.</t>
  </si>
  <si>
    <t>Payment: GET trạng thái (chặn nếu đang xử lý). Fulfillment: release (qua event).</t>
  </si>
  <si>
    <t>OrderCancelled (mỗi order), CheckoutCancelled (NEW)</t>
  </si>
  <si>
    <t>DELETE /api/v1/images/{id} hoặc DELETE /api/v1/products/{id}/images?ids=a,b,c (xóa nhiều ảnh)</t>
  </si>
  <si>
    <t>AUTH-05</t>
  </si>
  <si>
    <t>1 local TX: group + orders → CANCELLED (CAS theo row_version) + order_cancellations (was_paid=false) + history + release voucher (DSC-04) + saga_state=COMPENSATED + outbox.</t>
  </si>
  <si>
    <t>Ảnh tồn tại và chưa xóa; mọi ảnh thuộc sản phẩm của seller đang thao tác (hoặc Admin); xóa nhiều thì chỉ xóa khi tất cả hợp lệ</t>
  </si>
  <si>
    <t>ORDER.CANCEL / Buyer</t>
  </si>
  <si>
    <t>Object storage: xóa file sau khi commit thành công</t>
  </si>
  <si>
    <t>409 CHECKOUT_NOT_CANCELLABLE; 409 PAYMENT_IN_PROGRESS; 404
 + Lỗi chung: 401/403/429/500 (xem sheet Error Codes)</t>
  </si>
  <si>
    <t>Có: IsDeleted = true cho ảnh (và chuyển cờ ảnh đại diện nếu cần) trong 1 transaction; xóa file sau khi commit, lỗi xóa file thì ghi log để dọn sau</t>
  </si>
  <si>
    <t>Không cần refund (chưa trả). Inventory release bất đồng bộ qua OrderCancelled; cờ inventory_released cập nhật khi nhận InventoryReleased. Đây là đường DUY NHẤT để huỷ order thường ở PENDING_PAYMENT (ORD-06 không áp dụng cho trạng thái này).</t>
  </si>
  <si>
    <t>403 FORBIDDEN; 404 IMAGE_NOT_FOUND</t>
  </si>
  <si>
    <t>Xóa ảnh đại diện thì chuyển cờ IsActive sang ảnh còn lại có SortOrder nhỏ nhất; giới hạn 5 ảnh đếm theo ảnh chưa xóa; sản phẩm không còn ảnh vẫn hợp lệ</t>
  </si>
  <si>
    <t>/api/v1/auth/password/forgot</t>
  </si>
  <si>
    <t>CAT-14</t>
  </si>
  <si>
    <t>Đặt ảnh đại diện, sắp xếp ảnh</t>
  </si>
  <si>
    <t>Yêu cầu quên mật khẩu &amp; Gửi OTP khôi phục</t>
  </si>
  <si>
    <t>Chọn ảnh đại diện, đổi thứ tự hiển thị, sửa mô tả ảnh.</t>
  </si>
  <si>
    <t>{
  "email": "string"
}</t>
  </si>
  <si>
    <t>PATCH /api/v1/images/{id} | Body: IsActive; SortOrder; AltText</t>
  </si>
  <si>
    <t>200 OK | Thông tin ảnh sau khi cập nhật</t>
  </si>
  <si>
    <t>Ảnh tồn tại và chưa xóa; mỗi sản phẩm chỉ có 1 ảnh đại diện</t>
  </si>
  <si>
    <t>CHK-06</t>
  </si>
  <si>
    <t>Expire unpaid checkout / Job hết hạn thanh toán</t>
  </si>
  <si>
    <t>{
  "msg": "Nếu email tồn tại, hướng dẫn đặt lại mật khẩu đã được gửi đến bạn",
  "data": {
    "email": "string"
  }
}</t>
  </si>
  <si>
    <t>Có: bỏ cờ ảnh đại diện cũ rồi đặt cờ ảnh mới trong 1 transaction</t>
  </si>
  <si>
    <t>Huỷ tự động nhóm đơn quá payment_deadline_at. (EN: auto-expire unpaid checkouts)</t>
  </si>
  <si>
    <t>Scheduled – mỗi 1 phút (+ consumer InventoryReservationExpired làm lưới an toàn)</t>
  </si>
  <si>
    <t>400 VALIDATION_FAILED; 403 FORBIDDEN; 404 IMAGE_NOT_FOUND</t>
  </si>
  <si>
    <t>Log số group xử lý</t>
  </si>
  <si>
    <t>Ảnh đại diện đánh dấu bằng cờ IsActive (theo DB tổng của nhóm); đổi thứ tự không đòi SortOrder phải duy nhất để tránh lỗi khi hoán đổi hai ảnh</t>
  </si>
  <si>
    <t>- status = PENDING_PAYMENT AND payment_deadline_at &lt; now()
 - Trước khi huỷ: hỏi Payment xem có giao dịch đang xử lý/đã thành công không</t>
  </si>
  <si>
    <t>Payment: GET /internal/v1/payments?referenceId=. Fulfillment: release (qua event). Gọi Payment theo batch (referenceIds[]) thay vì từng group.</t>
  </si>
  <si>
    <t>CheckoutExpired (NEW), OrderCancelled (reason PAYMENT_TIMEOUT, actor SYSTEM)</t>
  </si>
  <si>
    <t>Batch 100: SELECT … FOR UPDATE SKIP LOCKED → TX compensate giống CHK-05 (actor SYSTEM). Nếu Payment báo SUCCEEDED → chuyển sang xử lý PAY-01.</t>
  </si>
  <si>
    <t>Payment không phản hồi → bỏ qua vòng này, thử lại vòng sau (không huỷ mù).</t>
  </si>
  <si>
    <t>Tránh race: tiền về sau khi đã huỷ (late payment) → PAY-01 tự phát refund. Inventory reservation có TTL riêng, nhưng Commerce là bên quyết định.</t>
  </si>
  <si>
    <t>PAY-01</t>
  </si>
  <si>
    <t>Handle payment result / Nhận kết quả thanh toán</t>
  </si>
  <si>
    <t>AUTH-06</t>
  </si>
  <si>
    <t>Consumer sự kiện từ Payment Service, cập nhật group/orders (cả order thường và auction order).
 (EN: payment result consumer)</t>
  </si>
  <si>
    <t>NOTI-10 (gửi OTP reset)</t>
  </si>
  <si>
    <t>Event consumer – PaymentSucceeded | PaymentFailed | PaymentExpired (event do Payment Service phát, cần chốt contract)</t>
  </si>
  <si>
    <t>{eventId, referenceType: CHECKOUT_GROUP|AUCTION_ORDER, referenceId, walletTransactionId, amount, paidAt, status, failureCode}</t>
  </si>
  <si>
    <t>ACK / retry / DLQ</t>
  </si>
  <si>
    <t>CAT-15</t>
  </si>
  <si>
    <t>Tạo danh mục</t>
  </si>
  <si>
    <t>- Dedupe inbox (message_id, consumer)
 - amount == total_amount (lệch → alert, không mark PAID, gọi refund)
 - Reference tồn tại
 - Nếu order đã CANCELLED/EXPIRED (late payment) → phát refund</t>
  </si>
  <si>
    <t>Tạo danh mục sản phẩm mới trong cây danh mục tối đa 3 cấp.</t>
  </si>
  <si>
    <t>POST /api/v1/categories | Body: Name; Description; ParentId; SortOrder</t>
  </si>
  <si>
    <t>Fulfillment: confirm reservation (bỏ expires_at) qua event OrderPaid.
 Payment: refund nếu late/mismatch (qua event OrderRefundRequested).</t>
  </si>
  <si>
    <t>201 Created | CategoryId; Level</t>
  </si>
  <si>
    <t>OrderPaid (mỗi order), OrderPaymentFailed, CheckoutCompleted (NEW)</t>
  </si>
  <si>
    <t>Name không rỗng; Name không trùng trong cùng ParentId (chưa xóa); ParentId nếu có phải tồn tại và chưa xóa; Level = Level cha + 1 và không vượt 3</t>
  </si>
  <si>
    <t>CategoryCreated</t>
  </si>
  <si>
    <t>Có: ghi Categories và AuditLogs trong 1 transaction</t>
  </si>
  <si>
    <t>Admin (CATEGORY.CREATE, cần xác nhận lại vai trò)</t>
  </si>
  <si>
    <t>1 local TX: INSERT inbox → group.status=PAID + wallet_transaction_id → orders: status=PAID, paid_at, seller_respond_deadline_at=paid_at+24h, wallet_transaction_id → history (actor SYSTEM) → confirm voucher usage (DSC-04) → xoá item đã mua khỏi cart (khớp theo sku_id của order_items) + recalc carts.item_count/subtotal_amount (giỏ hết hàng → carts.status=CHECKED_OUT) → saga_state=COMPLETED → outbox. Optimistic lock row_version.</t>
  </si>
  <si>
    <t>PUT</t>
  </si>
  <si>
    <t>400 VALIDATION_FAILED; 400 MAX_LEVEL_EXCEEDED; 403 FORBIDDEN; 404 PARENT_NOT_FOUND; 409 CATEGORY_NAME_DUPLICATED</t>
  </si>
  <si>
    <t>System (service-to-service, JWT dịch vụ / mTLS)</t>
  </si>
  <si>
    <t>/api/v1/auth/password/reset</t>
  </si>
  <si>
    <t>AMOUNT_MISMATCH; ORDER_NOT_PENDING_PAYMENT (→ refund); UNKNOWN_REFERENCE. Retry backoff, quá ngưỡng → inbox FAILED → DEAD/DLQ.</t>
  </si>
  <si>
    <t>CATEGORY_MAX_LEVEL = 3; danh mục gốc có Level = 1 và ParentId = NULL; IsActive mặc định true; Level tính theo danh mục cha</t>
  </si>
  <si>
    <t>Đặt lại mật khẩu mới bằng mã OTP</t>
  </si>
  <si>
    <t>{
  "email": "string",
  "otp_code": "string: 6 digits",
  "new_password": "string",
  "confirm_password": "string"
}</t>
  </si>
  <si>
    <t>PaymentFailed/PaymentExpired: group chuyển PAYMENT_PROCESSING → PENDING_PAYMENT (mở lại cho buyer thử, ≤3 lần) cho tới deadline; hết hạn → CHK-06. Seller chỉ thấy order sau khi PAID. Late payment (group/order đã CANCELLED/EXPIRED) → OrderRefundRequested(referenceType=CHECKOUT_GROUP, amount=group.total_amount, hoàn toàn bộ giao dịch).</t>
  </si>
  <si>
    <t>{
  "msg": "Mật khẩu đã được đặt lại thành công. Vui lòng đăng nhập lại!",
  "data": {
    "success": true
  }
}</t>
  </si>
  <si>
    <t>DSC-01</t>
  </si>
  <si>
    <t>List available vouchers / Danh sách voucher khả dụng</t>
  </si>
  <si>
    <t>CAT-16</t>
  </si>
  <si>
    <t>Sửa danh mục</t>
  </si>
  <si>
    <t>Liệt kê voucher hiển thị mà buyer có thể dùng cho giỏ/shop. (EN: list eligible vouchers)</t>
  </si>
  <si>
    <t>Sửa tên, mô tả, thứ tự, ẩn hiện hoặc đổi danh mục cha.</t>
  </si>
  <si>
    <t>API – GET /api/v1/vouchers/available?cartItemIds=&amp;sellerId=&amp;page=&amp;size=</t>
  </si>
  <si>
    <t>PATCH /api/v1/categories/{id} | Body: Name; Description; ParentId; SortOrder; IsActive</t>
  </si>
  <si>
    <t>Query như trên</t>
  </si>
  <si>
    <t>200 OK | Thông tin danh mục sau khi cập nhật</t>
  </si>
  <si>
    <t>200 {items:[{code, name, scopeType, discountType, discountValue, maxDiscountAmount, minOrderAmount, endsAt, eligible, ineligibleReason, remainingUses}], paging}</t>
  </si>
  <si>
    <t>Như CAT-15; không chuyển danh mục thành con cháu của chính nó; Level mới của cả cây con không vượt 3</t>
  </si>
  <si>
    <t>CategoryUpdated</t>
  </si>
  <si>
    <t>- size ≤ 50
 - Lọc: status=ACTIVE, starts_at ≤ now ≤ ends_at, deleted_at IS NULL, is_visible=true, used_count+reserved_count &lt; max_uses_total, số lần buyer đã dùng (RESERVED+USED) &lt; max_uses_per_user</t>
  </si>
  <si>
    <t>Có: cập nhật Categories và Level của toàn bộ con cháu trong 1 transaction, ghi AuditLogs</t>
  </si>
  <si>
    <t>Catalog (category/product của item nếu scope CATEGORY/SKU).</t>
  </si>
  <si>
    <t>Admin (CATEGORY.UPDATE)</t>
  </si>
  <si>
    <t>400 VALIDATION_FAILED; 400 MAX_LEVEL_EXCEEDED; 400 CATEGORY_CYCLE; 403 FORBIDDEN; 404 CATEGORY_NOT_FOUND; 409 CATEGORY_NAME_DUPLICATED</t>
  </si>
  <si>
    <t>404 SELLER_NOT_FOUND
 + Lỗi chung: 401/403/429/500 (xem sheet Error Codes)</t>
  </si>
  <si>
    <t>Đổi cha thì cập nhật Level cho cây con; ẩn danh mục (IsActive = false) không làm mất sản phẩm đã gán, chỉ ẩn trên giao diện</t>
  </si>
  <si>
    <t>Voucher ẩn (is_visible=false) không liệt kê nhưng vẫn dùng được khi nhập mã. Index: UNIQUE(lower(code)) WHERE deleted_at IS NULL.</t>
  </si>
  <si>
    <t>DSC-02</t>
  </si>
  <si>
    <t>AUTH-07</t>
  </si>
  <si>
    <t>Validate &amp; calculate voucher / Kiểm tra và tính giảm giá</t>
  </si>
  <si>
    <t>CAT-17</t>
  </si>
  <si>
    <t>Hàm nội bộ kiểm tra điều kiện và tính số tiền giảm. (EN: validate and compute discount)</t>
  </si>
  <si>
    <t>Xóa danh mục</t>
  </si>
  <si>
    <t>Xóa mềm danh mục khi không còn sản phẩm và danh mục con.</t>
  </si>
  <si>
    <t>Internal – VoucherService.validateAndCalculate(code, userId, scopeContext)</t>
  </si>
  <si>
    <t>DELETE /api/v1/categories/{id}</t>
  </si>
  <si>
    <t>Input: code, userId, {sellerId, items[{skuId, productId, categoryId, qty, price}]}</t>
  </si>
  <si>
    <t>Output: {valid, reason?, discountAmount, eligibleSubtotal}</t>
  </si>
  <si>
    <t>Danh mục tồn tại và chưa xóa; không còn sản phẩm chưa xóa trong danh mục; không còn danh mục con chưa xóa</t>
  </si>
  <si>
    <t>NOTI-10 (email cảnh báo bảo mật)</t>
  </si>
  <si>
    <t>CategoryDeleted</t>
  </si>
  <si>
    <t>- Code tồn tại, ACTIVE, trong thời gian
 - scope_type: SYSTEM | SHOP (owner_seller_id = sellerId) | PRODUCT (discount_code_scopes khớp SHOP/PRODUCT/SKU/CATEGORY/ALL)
 - eligibleSubtotal ≥ min_order_amount
 - Còn lượt tổng + lượt/user</t>
  </si>
  <si>
    <t>Có: IsDeleted = true, DeletedAt cho Categories và ghi AuditLogs trong 1 transaction</t>
  </si>
  <si>
    <t>Admin (CATEGORY.DELETE)</t>
  </si>
  <si>
    <t>403 FORBIDDEN; 404 CATEGORY_NOT_FOUND; 409 CATEGORY_HAS_PRODUCT; 409 CATEGORY_HAS_CHILD</t>
  </si>
  <si>
    <t>Pure/read-only.</t>
  </si>
  <si>
    <t>ALLOW_CATEGORY_DELETE_WITH_PRODUCT = false; chỉ xóa mềm</t>
  </si>
  <si>
    <t>VOUCHER_NOT_FOUND | VOUCHER_EXPIRED | VOUCHER_NOT_APPLICABLE | VOUCHER_MIN_ORDER_NOT_MET | VOUCHER_LIMIT_REACHED</t>
  </si>
  <si>
    <t>PERCENT: discount = min(eligibleSubtotal × value/100, max_discount_amount). FIXED: min(value, eligibleSubtotal). Thứ tự áp: PRODUCT → SHOP → (markup) → SYSTEM. Tối đa 1 SYSTEM/group, 1 SHOP/order, 1 PRODUCT/item. SYSTEM chia pro-rata theo order, order cuối nhận phần dư (tránh lệch làm tròn). max_discount_amount NULL = không giới hạn. Tổng giảm SYSTEM của 1 order không vượt phần còn phải trả (để total_amount ≥ 0).</t>
  </si>
  <si>
    <t>CAT-18</t>
  </si>
  <si>
    <t>PATCH</t>
  </si>
  <si>
    <t>Xem chi tiết danh mục</t>
  </si>
  <si>
    <t>DSC-03</t>
  </si>
  <si>
    <t>Lấy thông tin một danh mục kèm danh mục cha và con trực tiếp.</t>
  </si>
  <si>
    <t>/api/v1/auth/password</t>
  </si>
  <si>
    <t>Reserve vouchers / Giữ lượt voucher</t>
  </si>
  <si>
    <t>Giữ lượt dùng voucher trong TX tạo checkout. (EN: reserve voucher usage)</t>
  </si>
  <si>
    <t>GET /api/v1/categories/{id}</t>
  </si>
  <si>
    <t>200 OK | Category; Parent; Children[CategoryId, Name, Level]</t>
  </si>
  <si>
    <t>Cập nhật lại mật khẩu(Đổi mật khẩu)</t>
  </si>
  <si>
    <t>Internal – VoucherService.reserve(checkoutGroupId, orderId?, userId, codes) – gọi trong TX-1 của CHK-02</t>
  </si>
  <si>
    <t>Id đúng định dạng UUID; chỉ trả danh mục chưa xóa</t>
  </si>
  <si>
    <t>Input: danh sách {code, orderId?, discountAmount}</t>
  </si>
  <si>
    <t>Headers: { "Authorization": "Bearer JWT" }
Body:
{
  "old_password": "string",
  "new_password": "string",
  "confirm_password": "string"
}</t>
  </si>
  <si>
    <t>Output: usageIds[]</t>
  </si>
  <si>
    <t>{
  "msg": "Đổi mật khẩu thành công. Vui lòng đăng nhập lại trên các thiết bị khác",
  "data": {
    "success": true
  }
}</t>
  </si>
  <si>
    <t>Mọi vai trò (CATEGORY.VIEW)</t>
  </si>
  <si>
    <t>- Atomic: UPDATE discount_codes SET reserved_count=reserved_count+1 WHERE id=? AND status='ACTIVE' AND (max_uses_total IS NULL OR used_count+reserved_count &lt; max_uses_total) → rowcount=0 ⇒ hết lượt
 - Per-user: pg_advisory_xact_lock(hash(code,userId)) rồi COUNT usages RESERVED/USED</t>
  </si>
  <si>
    <t>400 INVALID_ID; 404 CATEGORY_NOT_FOUND</t>
  </si>
  <si>
    <t>Buyer chỉ thấy danh mục IsActive = true</t>
  </si>
  <si>
    <t>Chạy trong TX của CHK-02 (cùng COMMIT/ROLLBACK). INSERT discount_code_usages(status=RESERVED, reserved_at).</t>
  </si>
  <si>
    <t>VOUCHER_LIMIT_REACHED; VOUCHER_USER_LIMIT_REACHED</t>
  </si>
  <si>
    <t>CAT-19</t>
  </si>
  <si>
    <t>Danh sách và cây danh mục</t>
  </si>
  <si>
    <t>SHOP/PRODUCT: usage gắn order_id. SYSTEM: 1 usage gắn checkout_group_id (order_id NULL, discount_amount = tổng). Tránh khoá nóng: UPDATE có điều kiện thay vì SELECT FOR UPDATE.</t>
  </si>
  <si>
    <t>Lấy danh sách phẳng hoặc dạng cây để dựng menu điều hướng.</t>
  </si>
  <si>
    <t>DSC-04</t>
  </si>
  <si>
    <t>GET /api/v1/categories | Query: ParentId; Tree (true hoặc false); Keyword</t>
  </si>
  <si>
    <t>Confirm / Release voucher usage / Xác nhận hoặc trả lại lượt voucher</t>
  </si>
  <si>
    <t>200 OK | Items[CategoryId, Name, Level, SortOrder, Children] (không có dữ liệu thì trả mảng rỗng, giao diện hiện No Data)</t>
  </si>
  <si>
    <t>Chuyển RESERVED→USED khi trả tiền; RESERVED/USED→RELEASED khi huỷ/hết hạn. (EN: confirm or release)</t>
  </si>
  <si>
    <t>ParentId hợp lệ nếu có</t>
  </si>
  <si>
    <t>Internal – VoucherService.confirm(groupId) / release(orderId|groupId, reason)</t>
  </si>
  <si>
    <t>Input: checkoutGroupId hoặc orderId</t>
  </si>
  <si>
    <t>Mọi vai trò (CATEGORY.LIST)</t>
  </si>
  <si>
    <t>Output: số usage đã xử lý</t>
  </si>
  <si>
    <t>400 VALIDATION_FAILED</t>
  </si>
  <si>
    <t>- Idempotent: usage đã USED/RELEASED thì bỏ qua</t>
  </si>
  <si>
    <t>Mặc định sắp xếp theo SortOrder rồi Name (CATEGORY_DEFAULT_SORT = NAME_ASC); chỉ trả IsDeleted = false; Buyer chỉ thấy IsActive = true</t>
  </si>
  <si>
    <t>Gọi trong TX của PAY-01 / CHK-05 / CHK-06 / ORD-06: confirm → used_at, used_count+1, reserved_count−1; release → released_at, reserved_count−1 (hoặc used_count−1 nếu đã USED).</t>
  </si>
  <si>
    <t>AUTH-08</t>
  </si>
  <si>
    <t>CAT-20</t>
  </si>
  <si>
    <t>Order bị huỷ SAU khi PAID: seller/system huỷ ⇒ hoàn lượt; buyer huỷ ⇒ cần BA chốt (đề xuất hoàn). Không hoàn lượt nếu voucher đã hết hạn? (cần BA chốt).</t>
  </si>
  <si>
    <t>Tìm kiếm sản phẩm</t>
  </si>
  <si>
    <t>ORD-01</t>
  </si>
  <si>
    <t>Tìm sản phẩm theo tên, danh mục, khoảng giá, có thể giới hạn trong một shop (SellerId). Chỉ trả sản phẩm ACTIVE. Seller tìm trong sản phẩm của mình (kèm DRAFT, INACTIVE) dùng CAT-06</t>
  </si>
  <si>
    <t>List my orders / Lịch sử đơn hàng của tôi</t>
  </si>
  <si>
    <t>GET /api/v1/products/search | Query: Keyword; CategoryId; SellerId; MinPrice; MaxPrice; Page; PageSize</t>
  </si>
  <si>
    <t>Danh sách đơn (thường + đấu giá) của buyer. (EN: buyer order history)</t>
  </si>
  <si>
    <t>200 OK | Items[ProductId, Name, MinPrice, MaxPrice, PrimaryImageUrl, AvgRating]; Page; PageSize; Total</t>
  </si>
  <si>
    <t>API – GET /api/v1/orders</t>
  </si>
  <si>
    <t>Query: status, orderType=ALL|NORMAL|AUCTION, fromDate, toDate, keyword (orderNo), page=0, size=20, sort=createdAt,desc</t>
  </si>
  <si>
    <t>MinPrice nhỏ hơn hoặc bằng MaxPrice; độ dài Keyword hợp lý; Page và PageSize hợp lệ; SellerId đúng định dạng UUID nếu có; chỉ trả sản phẩm ACTIVE chưa xóa</t>
  </si>
  <si>
    <t>200 {items:[{orderId, orderNo, orderType, sellerId, sellerName, status, totalAmount, itemCount, firstItem:{name, imageUrl}, createdAt, paymentDeadlineAt}], page, size, totalItems, totalPages}
 Rỗng → items:[] (FE hiện 'No Data')</t>
  </si>
  <si>
    <t>Mọi vai trò (PRODUCT.SEARCH)</t>
  </si>
  <si>
    <t>- size ≤ 100; status thuộc enum; fromDate ≤ toDate, khoảng ≤ 1 năm
 - sort whitelist (createdAt, totalAmount)</t>
  </si>
  <si>
    <t>User Service: batch lấy sellerName (cache).</t>
  </si>
  <si>
    <t>Chỉ trả sản phẩm ACTIVE chưa xóa; giá lấy theo các variant ACTIVE; tìm không phân biệt dấu tiếng Việt (cần cấu hình tìm kiếm văn bản); mục tiêu phản hồi tối đa 800 ms (SRS 5.1)</t>
  </si>
  <si>
    <t>Read-only. UNION ALL orders + auction_orders, buyer_id = JWT sub, deleted_at IS NULL. Index: (buyer_id, created_at DESC), (buyer_id, status).</t>
  </si>
  <si>
    <t>ORDER.LIST / Buyer (own)</t>
  </si>
  <si>
    <t>400 VALIDATION_ERROR
 + Lỗi chung: 401/403/429/500 (xem sheet Error Codes)</t>
  </si>
  <si>
    <t>CAT-21</t>
  </si>
  <si>
    <t>Lọc và sắp xếp kết quả</t>
  </si>
  <si>
    <t>Order PENDING_PAYMENT hiển thị kèm đếm ngược. Dùng keyset/seek pagination nếu dữ liệu lớn.</t>
  </si>
  <si>
    <t>ORD-02</t>
  </si>
  <si>
    <t>Get order detail / Chi tiết &amp; theo dõi đơn hàng</t>
  </si>
  <si>
    <t>Chi tiết đơn: items, tiền, trạng thái, lịch sử, vận chuyển, hoá đơn (SRS 3.4.3.3).
 (EN: order detail &amp; tracking)</t>
  </si>
  <si>
    <t>API – GET /api/v1/orders/{orderId}?orderType=NORMAL|AUCTION</t>
  </si>
  <si>
    <t>Bộ tham số lọc và sắp xếp dùng chung cho CAT-06 và CAT-20.</t>
  </si>
  <si>
    <t>Path: orderId; Query: orderType (default NORMAL)</t>
  </si>
  <si>
    <t>API (tham số)</t>
  </si>
  <si>
    <t>Query bổ sung: Brand; SaleType; Attributes (AttrName=AttrValue); MinRating; SortBy (newest, priceAsc, priceDesc, rating)</t>
  </si>
  <si>
    <t>Như CAT-06 và CAT-20</t>
  </si>
  <si>
    <t>200 {orderId, orderNo, orderType, status, paymentMethod, shippingAddress, contactPhone, amounts:{itemsAmount, productDiscountAmount, shopDiscountAmount, platformMarkupAmount, systemDiscountAmount, shippingFeeAmount, totalAmount}, items[{productName, skuCode, skuAttributes, imageUrl, quantity, unitPrice, unitPriceAfterDiscount, lineTotal}], statusHistory[{fromStatus, toStatus, actorRole, reason, createdAt}], shipment?{carrier, trackingNo, status, events[]}, invoice?{invoiceNo, status}, cancellation?{reasonCode, wasPaid}, timestamps{…}, allowedActions:['CANCEL','CONFIRM_RECEIVED',…}
 AUCTION thêm: auctionId, winningBidId, winningAmount.</t>
  </si>
  <si>
    <t>SortBy thuộc danh sách cho phép; AttrName tồn tại; MinRating từ 0 đến 5</t>
  </si>
  <si>
    <t>/api/v1/auth/logout</t>
  </si>
  <si>
    <t>- Buyer: buyer_id = sub. Seller: seller_id = sub. Admin/Support: tất cả
 - Không đủ quyền → 404 (không lộ tồn tại)
 - Seller chỉ xem order có paid_at IS NOT NULL (không thấy PENDING_PAYMENT hoặc đơn huỷ trước khi trả tiền) → còn lại 404</t>
  </si>
  <si>
    <t>Đăng xuất &amp; Thu hồi phiên hiện tại</t>
  </si>
  <si>
    <t>Mọi vai trò (PRODUCT.LIST, PRODUCT.SEARCH)</t>
  </si>
  <si>
    <t>Fulfillment: GET shipment by orderId (SHIPPING.VIEW_SHIPMENT), lỗi thì degrade shipment=null.</t>
  </si>
  <si>
    <t>Headers: { "Authorization": "Bearer JWT" }
Body:
{
  "refresh_token": "string"
}</t>
  </si>
  <si>
    <t>Lọc thuộc tính qua ProductVariantAttributes; sắp xếp theo rating dùng ProductRatingStats.AvgRating; chưa có sắp xếp bán chạy vì thiết kế hiện chưa có bộ đếm đã bán</t>
  </si>
  <si>
    <t>Read-only. Seller KHÔNG thấy order PENDING_PAYMENT.</t>
  </si>
  <si>
    <t>ORDER.VIEW / Buyer (own), Seller (own), Admin, Support</t>
  </si>
  <si>
    <t>{
  "msg": "Đăng xuất thành công",
  "data": {
    "success": true
  }
}</t>
  </si>
  <si>
    <t>404 ORDER_NOT_FOUND
 + Lỗi chung: 401/403/429/500 (xem sheet Error Codes)</t>
  </si>
  <si>
    <t>amounts hiển thị theo vai trò: buyer thấy totalAmount; seller thấy sellerReceiveAmount; platformFee chỉ Admin. allowedActions tính từ state machine + vai trò để FE bật/tắt nút. Auction order: items[] dựng từ auction_orders (1 dòng: quantity=1, unitPrice=winningAmount; ảnh/thuộc tính lấy từ snapshot nếu thêm cột — xem gap #19 — hoặc từ Catalog).</t>
  </si>
  <si>
    <t>CAT-22</t>
  </si>
  <si>
    <t>Khám phá sản phẩm</t>
  </si>
  <si>
    <t>ORD-03</t>
  </si>
  <si>
    <t>Gợi ý sản phẩm cho trang chủ: mới nhất, đánh giá cao, đang đấu giá.</t>
  </si>
  <si>
    <t>Seller order list / Danh sách đơn của seller</t>
  </si>
  <si>
    <t>GET /api/v1/products/discovery | Query: Type (newest, topRated, auction); Limit</t>
  </si>
  <si>
    <t>Seller xem đơn thuộc shop mình kèm số đếm theo tab. (EN: seller order list with tab counts)</t>
  </si>
  <si>
    <t>200 OK | Items[ProductId, Name, MinPrice, PrimaryImageUrl, AvgRating]</t>
  </si>
  <si>
    <t>API – GET /api/v1/seller/orders</t>
  </si>
  <si>
    <t>Type thuộc danh sách cho phép; Limit trong giới hạn</t>
  </si>
  <si>
    <t>Query: status, orderType, fromDate, toDate, keyword, page, size, sort</t>
  </si>
  <si>
    <t>Auction Service: lấy thời gian của phiên đấu giá nếu hiển thị theo thời gian đấu giá (cần nhóm chốt)</t>
  </si>
  <si>
    <t>200 {items:[{orderId, orderNo, status, receiverName, totalItems, sellerReceiveAmount, paidAt, sellerRespondDeadlineAt, createdAt}], statusCounts:{PAID, CONFIRMED, SHIPPING, DELIVERED, COMPLETED, CANCELLED, REFUNDED}, paging}</t>
  </si>
  <si>
    <t>- seller_id = sub; BẮT BUỘC paid_at IS NOT NULL (seller không thấy đơn chưa trả tiền / huỷ trước khi trả tiền)
 - status=PENDING_PAYMENT → 400 VALIDATION_ERROR
 - Giới hạn tham số như ORD-01</t>
  </si>
  <si>
    <t>newest sắp xếp theo PublishedAt; topRated sắp xếp theo AvgRating với số đánh giá tối thiểu; auction lấy sản phẩm SaleType = AUCTION đang ACTIVE</t>
  </si>
  <si>
    <t>Read-only. Index (seller_id, status, created_at DESC) WHERE paid_at IS NOT NULL (partial). statusCounts = 1 query GROUP BY (cùng điều kiện paid_at IS NOT NULL).</t>
  </si>
  <si>
    <t>ORDER.LIST / Seller (own)</t>
  </si>
  <si>
    <t>CAT-23</t>
  </si>
  <si>
    <t>Lấy variant theo ID (nội bộ)</t>
  </si>
  <si>
    <t>Sắp xếp ưu tiên đơn PAID gần hết hạn phản hồi (seller_respond_deadline_at). Che bớt thông tin buyer đến khi order PAID.</t>
  </si>
  <si>
    <t>Cho Cart, Auction, Fulfillment, Commerce lấy thông tin một variant. Price là null với sản phẩm AUCTION (giá nằm ở Auction).</t>
  </si>
  <si>
    <t>Internal API</t>
  </si>
  <si>
    <t>ORD-04</t>
  </si>
  <si>
    <t>GET /api/v1/internal/variants/{id}</t>
  </si>
  <si>
    <t>Seller accept order / Seller xác nhận đơn</t>
  </si>
  <si>
    <t>200 OK | VariantId; ProductId; SkuCode; Name; ProductName; Price; Currency; Status; ProductStatus; SellerId; SaleType; PrimaryImageUrl; Attributes[AttrName, AttrValue]</t>
  </si>
  <si>
    <t>Seller nhận đơn đã PAID trong 24h để chuẩn bị hàng. (EN: seller accepts a paid order)</t>
  </si>
  <si>
    <t>AUTH-09</t>
  </si>
  <si>
    <t>Id đúng định dạng UUID; chỉ nhận lời gọi từ service nội bộ (token service-to-service); variant hoặc sản phẩm đã xóa thì trả 404</t>
  </si>
  <si>
    <t>API – POST /api/v1/seller/orders/{orderId}/accept?orderType=</t>
  </si>
  <si>
    <t>Body: {note?: string≤500}</t>
  </si>
  <si>
    <t>200 {orderId, status:'CONFIRMED', sellerAcceptedAt}</t>
  </si>
  <si>
    <t>Service nội bộ (Cart, Auction, Fulfillment, Commerce); không mở cho client</t>
  </si>
  <si>
    <t>401 UNAUTHORIZED; 403 FORBIDDEN; 404 VARIANT_NOT_FOUND (variant đã xóa cũng trả 404)</t>
  </si>
  <si>
    <t>- seller_id = sub
 - status = PAID
 - now ≤ seller_respond_deadline_at</t>
  </si>
  <si>
    <t>Trả cả variant INACTIVE kèm Status để bên gọi tự quyết định; Auction dùng SellerId, ProductStatus, SaleType để kiểm tra điều kiện đấu giá; các service khác tham chiếu bằng ID, không đọc DB của Catalog (SRS 4.1)</t>
  </si>
  <si>
    <t>— (Fulfillment tự tạo shipment/pick khi nhận event, bất đồng bộ).</t>
  </si>
  <si>
    <t>OrderSellerAccepted (NEW)</t>
  </si>
  <si>
    <t>1 local TX: UPDATE orders SET status='CONFIRMED', seller_accepted_at=now(), row_version=row_version+1 WHERE id=? AND status='PAID' AND row_version=? (rowcount=0 ⇒ 409) + history (actor SELLER) + outbox.</t>
  </si>
  <si>
    <t>ORDER.ACCEPT (NEW) / Seller</t>
  </si>
  <si>
    <t>/api/v1/auth/logout-all</t>
  </si>
  <si>
    <t>404 ORDER_NOT_FOUND; 409 ORDER_STATE_CONFLICT; 410 SELLER_RESPOND_DEADLINE_PASSED
 + Lỗi chung: 401/403/429/500 (xem sheet Error Codes)</t>
  </si>
  <si>
    <t>Đăng xuất khỏi toàn bộ thiết bị khác</t>
  </si>
  <si>
    <t>Cần thêm status CONFIRMED (gap #2). Shipment tạo sau khi seller accept (lệch SRS 3.6.2.7 'sau khi paid' → gap #9). Áp dụng cả auction_orders.</t>
  </si>
  <si>
    <t>ORD-05</t>
  </si>
  <si>
    <t>Seller reject order / Seller từ chối đơn</t>
  </si>
  <si>
    <t>Seller từ chối đơn đã PAID → huỷ + hoàn tiền. (EN: seller rejects → cancel + refund)</t>
  </si>
  <si>
    <t>Headers:
{
  "Authorization": "Bearer JWT"
}</t>
  </si>
  <si>
    <t>API – POST /api/v1/seller/orders/{orderId}/reject?orderType=</t>
  </si>
  <si>
    <t>Body: {reasonCode: OUT_OF_STOCK|CANNOT_FULFILL|OTHER, reasonNote?}</t>
  </si>
  <si>
    <t>{
  "msg": "Đã đăng xuất khỏi toàn bộ các thiết bị khác thành công",
  "data": {
    "countRevoked": "int"
  }
}</t>
  </si>
  <si>
    <t>- seller_id = sub; status ∈ {PAID, CONFIRMED}
 - reasonNote bắt buộc nếu OTHER (≤500)</t>
  </si>
  <si>
    <t>Payment: refund bất đồng bộ qua event OrderRefundRequested. Fulfillment: release qua event OrderCancelled.</t>
  </si>
  <si>
    <t>OrderCancelled (actorRole=SELLER), OrderRefundRequested</t>
  </si>
  <si>
    <t>Dùng chung OrderCancellationSaga (ORD-06): 1 local TX (CAS update CANCELLED + order_cancellations + history + release voucher + outbox) rồi refund/release chạy bất đồng bộ.</t>
  </si>
  <si>
    <t>ORDER.REJECT (NEW) / Seller</t>
  </si>
  <si>
    <t>409 ORDER_STATE_CONFLICT; 404
 + Lỗi chung: 401/403/429/500 (xem sheet Error Codes)</t>
  </si>
  <si>
    <t>Phạt reputation seller do User Service quyết (consume OrderCancelled actor=SELLER). Hoàn 100% cho buyer.</t>
  </si>
  <si>
    <t>ORD-06</t>
  </si>
  <si>
    <t>Cancel order / Huỷ đơn (Buyer, Support, Admin)</t>
  </si>
  <si>
    <t>Huỷ đơn theo quyền &amp; trạng thái; nếu đã trả tiền thì tạo refund. (EN: cancel order + refund if paid)</t>
  </si>
  <si>
    <t>API – POST /api/v1/orders/{orderId}/cancel?orderType=</t>
  </si>
  <si>
    <t>CAT-24</t>
  </si>
  <si>
    <t>Header: Idempotency-Key
 Body: {reasonCode: BUYER_CHANGED_MIND|WRONG_ADDRESS|FOUND_CHEAPER|DUPLICATE_ORDER|ADMIN_POLICY|FRAUD|OTHER, reasonNote?}</t>
  </si>
  <si>
    <t>200 {orderId, status:'CANCELLED', refundStatus: NONE|REQUESTED}</t>
  </si>
  <si>
    <t>Lấy nhiều variant một lần (nội bộ)</t>
  </si>
  <si>
    <t>- Buyer: order của mình; order thường: status = PAID (trước khi seller accept). Order thường ở PENDING_PAYMENT phải huỷ qua CHK-05 (cả group, tránh lệch số tiền group). Auction order: status ∈ {PENDING_PAYMENT, PAID}
 - Support/Admin: status ∈ {PAID, CONFIRMED} (trước SHIPPING); auction order thêm PENDING_PAYMENT
 - reasonNote bắt buộc nếu OTHER
 - Group của order đang PAYMENT_PROCESSING → 409</t>
  </si>
  <si>
    <t>Lấy thông tin nhiều variant trong một lời gọi. Dùng cho giỏ hàng, đơn hàng, Fulfillment kiểm tra SKU và chủ sở hữu khi nhập kho (stock-in), và kiểm tra sản phẩm trong đơn có thuộc seller khi seller xác nhận hoặc từ chối đơn</t>
  </si>
  <si>
    <t>Payment (async): OrderRefundRequested → RefundCompleted (ORD-14). Fulfillment (async): OrderCancelled → InventoryReleased.</t>
  </si>
  <si>
    <t>USER-05</t>
  </si>
  <si>
    <t>OrderCancelled, OrderRefundRequested (nếu was_paid)</t>
  </si>
  <si>
    <t>GET /api/v1/internal/variants?ids=a,b,c (hoặc POST kèm danh sách khi quá dài)</t>
  </si>
  <si>
    <t>OrderCancellationSaga (saga_state):
 TX-1 (local): CAS UPDATE status='CANCELLED', cancelled_at (WHERE status IN (cho phép) AND row_version=?) → INSERT order_cancellations(actor_role, reason_code, was_paid) → INSERT order_refunds(status=REQUESTED, amount) nếu was_paid → history → DSC-04 release → outbox. COMMIT.
 Bước async: Payment refund → ORD-14 cập nhật order_refunds(status=COMPLETED, refund_transaction_id) + order_cancellations.refund_transaction_id, order→REFUNDED; Fulfillment release → cập nhật inventory_released=true.</t>
  </si>
  <si>
    <t>200 OK | Items[như CAT-23]; NotFoundIds[]</t>
  </si>
  <si>
    <t>ORDER.CANCEL / Buyer (own), Support, Admin</t>
  </si>
  <si>
    <t>Tối đa 100 ID mỗi lần; mỗi ID đúng định dạng UUID</t>
  </si>
  <si>
    <t>404 ORDER_NOT_FOUND; 409 ORDER_NOT_CANCELLABLE; 409 PAYMENT_IN_PROGRESS; 422 IDEMPOTENCY_KEY_REUSED
 + Lỗi chung: 401/403/429/500 (xem sheet Error Codes)</t>
  </si>
  <si>
    <t>Service nội bộ (Cart, Commerce, Fulfillment)</t>
  </si>
  <si>
    <t>400 VALIDATION_FAILED; 401 UNAUTHORIZED; 403 FORBIDDEN</t>
  </si>
  <si>
    <t>GET</t>
  </si>
  <si>
    <t>Sau SHIPPING không cho huỷ (dùng luồng refund ORD-13). Auction order: winner huỷ sau khi thắng = vi phạm → phát OrderCancelled để User/Auction trừ điểm (PAYMENT_TIMEOUT_PENALTY_SCORE). Refund tự động 100%. Refund của order lẻ là partial refund trên giao dịch của group: OrderRefundRequested payload {orderId|auctionOrderId, referenceType, amount=order.total_amount, originalWalletTransactionId}; Payment Service phải hỗ trợ hoàn một phần trên 1 wallet_transaction_id.</t>
  </si>
  <si>
    <t>/api/v1/me/sessions</t>
  </si>
  <si>
    <t>Phục vụ Cart validation (SRS 3.4.1.6) và dựng giỏ hàng; ID không tìm thấy hoặc đã xóa trả riêng trong NotFoundIds thay vì báo lỗi cả lời gọi</t>
  </si>
  <si>
    <t>Xem danh sách thiết bị đang đăng nhập</t>
  </si>
  <si>
    <t>ORD-07</t>
  </si>
  <si>
    <t>Confirm received / Buyer xác nhận đã nhận hàng</t>
  </si>
  <si>
    <t>Buyer xác nhận → COMPLETED. (EN: buyer confirms delivery)</t>
  </si>
  <si>
    <t>{
  "msg": "Lấy danh sách phiên đăng nhập thành công",
  "data": [
    {
      "sessionId": "uuid",
      "deviceInfo": "string",
      "ipAddress": "string",
      "lastActiveAt": "timestamp",
      "isCurrent": "boolean"
    }
  ]
}</t>
  </si>
  <si>
    <t>API – POST /api/v1/orders/{orderId}/confirm-received?orderType=</t>
  </si>
  <si>
    <t>Body: {}</t>
  </si>
  <si>
    <t>200 {status:'COMPLETED', completedAt}</t>
  </si>
  <si>
    <t>- buyer_id = sub; status = DELIVERED</t>
  </si>
  <si>
    <t>— (Payment, Notification, User xử lý qua event).</t>
  </si>
  <si>
    <t>CAT-25</t>
  </si>
  <si>
    <t>OrderCompleted</t>
  </si>
  <si>
    <t>Kiểm tra đủ điều kiện đấu giá (nội bộ)</t>
  </si>
  <si>
    <t>1 local TX: CAS update COMPLETED + completed_at + history + outbox. Invoice (ORD-15) và settle tiền seller xử lý bất đồng bộ qua OrderCompleted.</t>
  </si>
  <si>
    <t>Auction Service hỏi một variant có được tạo hoặc tạo lại phiên đấu giá không (AUC-10, AUC-13).</t>
  </si>
  <si>
    <t>ORDER.CONFIRM_RECEIVED (NEW) / Buyer</t>
  </si>
  <si>
    <t>GET /api/v1/internal/variants/{id}/auction-eligibility | Query: SellerId; ProductId (tùy chọn)</t>
  </si>
  <si>
    <t>COMPLETED mở quyền rating (REPUTATION.RATE ở User Service). Payment chuyển seller_receive_amount vào ví seller khi nhận OrderCompleted (idempotent).</t>
  </si>
  <si>
    <t>200 OK | Eligible (true hoặc false); ProductId; Reasons[]</t>
  </si>
  <si>
    <t>SellerId trùng chủ sản phẩm; sản phẩm ACTIVE và chưa xóa; SaleType = AUCTION; variant ACTIVE; nếu có ProductId thì variant phải thuộc đúng ProductId đó</t>
  </si>
  <si>
    <t>ORD-08</t>
  </si>
  <si>
    <t>USER-03</t>
  </si>
  <si>
    <t>Auto-complete delivered orders / Job tự hoàn tất đơn</t>
  </si>
  <si>
    <t>Tự COMPLETED sau N ngày DELIVERED không khiếu nại. (EN: auto-complete)</t>
  </si>
  <si>
    <t>Scheduled – mỗi giờ</t>
  </si>
  <si>
    <t>Service nội bộ (Auction)</t>
  </si>
  <si>
    <t>401 UNAUTHORIZED; 404 VARIANT_NOT_FOUND</t>
  </si>
  <si>
    <t>Config: ORDER_AUTO_COMPLETE_DAYS (đề xuất 7, thêm vào system_settings/TIMING)</t>
  </si>
  <si>
    <t>Log số đơn xử lý</t>
  </si>
  <si>
    <t>Tương ứng kiểm tra product validity ở SRS 3.5.1.1; Auction vẫn tự kiểm tra uy tín seller và phiên đang chạy; có thể gộp vào CAT-23 nếu nhóm Auction muốn</t>
  </si>
  <si>
    <t>- status=DELIVERED AND delivered_at &lt; now()−N ngày
 - Không có dispute mở (Support)</t>
  </si>
  <si>
    <t>OrderCompleted (actor SYSTEM)</t>
  </si>
  <si>
    <t>DELETE</t>
  </si>
  <si>
    <t>Batch 200, SKIP LOCKED, CAS update + history + outbox mỗi batch.</t>
  </si>
  <si>
    <t>/api/v1/me/sessions/{id}</t>
  </si>
  <si>
    <t>Lỗi 1 order không chặn batch.</t>
  </si>
  <si>
    <t>Thu hồi / Đăng xuất thiết bị từ xa</t>
  </si>
  <si>
    <t>Cần BA chốt số ngày. Áp dụng cả auction_orders.</t>
  </si>
  <si>
    <t>ORD-09</t>
  </si>
  <si>
    <t>CAT-26</t>
  </si>
  <si>
    <t>Seller response timeout / Job quá hạn seller phản hồi</t>
  </si>
  <si>
    <t>Gửi đánh giá sản phẩm</t>
  </si>
  <si>
    <t>Headers: { "Authorization": "Bearer JWT" }
Path:
{
  "id": "uuid"
}</t>
  </si>
  <si>
    <t>Đơn PAID quá seller_respond_deadline_at (paid_at+24h) → huỷ + hoàn tiền. (EN: auto-cancel when seller silent)</t>
  </si>
  <si>
    <t>Scheduled – mỗi 1 phút</t>
  </si>
  <si>
    <t>{
  "msg": "Đã thu hồi phiên đăng nhập thành công",
  "data": {
    "revokedSessionId": "uuid"
  }
}</t>
  </si>
  <si>
    <t>Buyer đánh giá sản phẩm trong một đơn đã mua (số sao và nhận xét). Catalog tự tìm PurchaseRecord theo BuyerId (lấy từ token) + ProductId + OrderId. Chức năng đề xuất, SRS chưa giao rõ cho service nào.</t>
  </si>
  <si>
    <t>- status=PAID AND seller_respond_deadline_at &lt; now()</t>
  </si>
  <si>
    <t>Payment (refund async), Fulfillment (release async), User (penalty qua event).</t>
  </si>
  <si>
    <t>OrderCancelled (reason SELLER_NO_RESPONSE, actor SYSTEM), OrderRefundRequested</t>
  </si>
  <si>
    <t>POST /api/v1/order/{orderId}/products/{productId}/reviews | Body: Rating; Comment</t>
  </si>
  <si>
    <t>Batch + SKIP LOCKED; mỗi order dùng OrderCancellationSaga như ORD-06.</t>
  </si>
  <si>
    <t>201 Created | ReviewId; Rating; Status = PUBLISHED</t>
  </si>
  <si>
    <t>Seller bị phạt reputation (event). Hoàn 100% buyer.</t>
  </si>
  <si>
    <t>ORD-10</t>
  </si>
  <si>
    <t>Handle shipment events / Nhận sự kiện vận chuyển</t>
  </si>
  <si>
    <t>Rating từ 1 đến 5; PurchaseRecord (BuyerId, ProductId, OrderId) tồn tại; lượt mua chưa có đánh giá (kể cả đã xóa); người đánh giá khác chủ sản phẩm; Comment tối đa 2000 ký tự. Nhiều số lượng của một sản phẩm trong một đơn chỉ tính một đánh giá. Việc kiểm tra đơn đã hoàn thành do Commerce làm, Catalog chỉ có PurchaseRecord sau khi nhận OrderCompleted (CAT-33)</t>
  </si>
  <si>
    <t>Consumer ShipmentPickedUp/InTransit/Delivered/Failed/Returned từ Fulfillment. (EN: shipment event consumer)</t>
  </si>
  <si>
    <t>Event consumer – shipment.*</t>
  </si>
  <si>
    <t>Không (dữ liệu đã mua nằm sẵn trong PurchaseRecords)</t>
  </si>
  <si>
    <t>{eventId, orderId, shipmentId, status, trackingNo, occurredAt}</t>
  </si>
  <si>
    <t>ACK</t>
  </si>
  <si>
    <t>ProductReviewed (đề xuất, chưa có trong SRS 2.8)</t>
  </si>
  <si>
    <t>- Dedupe inbox
 - Bỏ qua/log nếu transition không hợp lệ hoặc event cũ hơn trạng thái hiện tại (out-of-order)</t>
  </si>
  <si>
    <t>Có: ghi ProductReviews, cộng StarSum và ReviewCount ở ProductRatingStats bằng lệnh cập nhật nguyên tử, ghi AuditLogs trong 1 transaction</t>
  </si>
  <si>
    <t>OrderShipped, OrderDelivered (NEW)</t>
  </si>
  <si>
    <t>Buyer (cần bổ sung quyền trong bảng 2.7)</t>
  </si>
  <si>
    <t>400 VALIDATION_FAILED; 401 UNAUTHORIZED; 403 NOT_PURCHASER; 404 PURCHASE_RECORD_NOT_FOUND; 409 ALREADY_REVIEWED</t>
  </si>
  <si>
    <t>1 local TX: INSERT inbox → CAS update: PickedUp/InTransit ⇒ SHIPPING (shipped_at nếu NULL); Delivered ⇒ DELIVERED (delivered_at; nếu order đang CONFIRMED thì áp 2 transition CONFIRMED→SHIPPING→DELIVERED trong cùng TX, ghi 2 dòng history; shipped_at NULL thì = delivered_at); Returned ⇒ CANCELLED (reason DELIVERY_RETURNED, actor SYSTEM) + refund; Failed ⇒ giữ SHIPPING + báo Support → history + outbox.</t>
  </si>
  <si>
    <t>USER-04</t>
  </si>
  <si>
    <t>Event cho order không tồn tại → retry vài lần rồi DLQ.</t>
  </si>
  <si>
    <t>SRS 3.1.2.1: chỉ đánh giá sau đơn hoàn tất, mỗi giao dịch tối đa một đánh giá, không tự đánh giá; Status mặc định PUBLISHED; một đơn có nhiều variant của cùng sản phẩm chỉ có một đánh giá</t>
  </si>
  <si>
    <t>Delivered đến trước InTransit vẫn phải xử lý được. Chính sách hoàn phí ship khi Returned cần BA chốt.</t>
  </si>
  <si>
    <t>ORD-11</t>
  </si>
  <si>
    <t>Admin list orders / Quản trị xem tất cả đơn</t>
  </si>
  <si>
    <t>Admin/Support tìm kiếm đơn toàn hệ thống. (EN: admin order search)</t>
  </si>
  <si>
    <t>API – GET /api/v1/admin/orders</t>
  </si>
  <si>
    <t>Query: orderNo, buyerId, sellerId, status, orderType, fromDate, toDate, minAmount, maxAmount, page, size, sort</t>
  </si>
  <si>
    <t>CAT-27</t>
  </si>
  <si>
    <t>200 {items:[…như ORD-01 + buyerId, sellerId, sellerReceiveAmount, platformFeeAmount], paging}</t>
  </si>
  <si>
    <t>- size ≤ 100; khoảng ngày ≤ 1 năm
 - Có ít nhất 1 filter hoặc khoảng ngày (tránh quét toàn bảng)</t>
  </si>
  <si>
    <t>Sửa đánh giá của mình</t>
  </si>
  <si>
    <t>User Service: batch tên buyer/seller.</t>
  </si>
  <si>
    <t>Buyer sửa số sao hoặc nhận xét của đánh giá đang hiển thị.</t>
  </si>
  <si>
    <t>ORDER.LIST / Admin, Support</t>
  </si>
  <si>
    <t>PATCH /api/v1/order/{orderId}/products/{productId}/reviews | Body: Rating; Comment</t>
  </si>
  <si>
    <t>200 OK | ReviewId; Rating; Comment; UpdatedAt</t>
  </si>
  <si>
    <t>Truy vấn log audit khi xem dữ liệu nhạy cảm (SĐT, địa chỉ).</t>
  </si>
  <si>
    <t>name</t>
  </si>
  <si>
    <t>ORD-12</t>
  </si>
  <si>
    <t>Tìm đánh giá theo PurchaseRecord (BuyerId, ProductId, OrderId); đánh giá thuộc người đăng nhập; Status = PUBLISHED và IsDeleted = false; Rating từ 1 đến 5</t>
  </si>
  <si>
    <t>Admin update order status / Admin chỉnh trạng thái ngoại lệ</t>
  </si>
  <si>
    <t>description</t>
  </si>
  <si>
    <t>Admin ép chuyển trạng thái trong các trường hợp ngoại lệ. (EN: exceptional status override)</t>
  </si>
  <si>
    <t>type</t>
  </si>
  <si>
    <t>ProductReviewUpdated (đề xuất)</t>
  </si>
  <si>
    <t>API – PATCH /api/v1/admin/orders/{orderId}/status?orderType=</t>
  </si>
  <si>
    <t>request</t>
  </si>
  <si>
    <t>Body: {toStatus, reason (≥10 ký tự)}</t>
  </si>
  <si>
    <t>200 {orderId, fromStatus, toStatus}</t>
  </si>
  <si>
    <t>Có: cập nhật ProductReviews; nếu đổi số sao thì StarSum cộng thêm (sao mới trừ sao cũ), ReviewCount giữ nguyên; ghi AuditLogs</t>
  </si>
  <si>
    <t>response</t>
  </si>
  <si>
    <t>Buyer (chủ đánh giá)</t>
  </si>
  <si>
    <t>- Chỉ cho transition TIẾN trong whitelist (vd SHIPPING→DELIVERED, DELIVERED→COMPLETED)
 - KHÔNG cho →CANCELLED (dùng ORD-06 để có order_cancellations + saga refund), →REFUNDED (dùng ORD-13/ORD-14), →PAID (phải qua Payment)</t>
  </si>
  <si>
    <t>validate</t>
  </si>
  <si>
    <t>Như event tương ứng với toStatus (refund/release async).</t>
  </si>
  <si>
    <t>400 VALIDATION_FAILED; 403 FORBIDDEN; 404 REVIEW_NOT_FOUND; 409 REVIEW_NOT_EDITABLE</t>
  </si>
  <si>
    <t>call another service</t>
  </si>
  <si>
    <t>Event theo trạng thái đích (OrderCancelled/OrderDelivered/OrderCompleted…)</t>
  </si>
  <si>
    <t>event name</t>
  </si>
  <si>
    <t>Không cho sửa đánh giá đang HIDDEN để tránh vòng qua kiểm duyệt; sửa không tự bật lại hiển thị; có thể giới hạn thời gian được sửa (nhóm chốt); SRS chưa nói về việc sửa đánh giá</t>
  </si>
  <si>
    <t>/api/v1/me</t>
  </si>
  <si>
    <t>transaction</t>
  </si>
  <si>
    <t>permission / role</t>
  </si>
  <si>
    <t>Xem danh sách cá nhân của user</t>
  </si>
  <si>
    <t>1 local TX: CAS update + history (actor ADMIN, reason) + outbox (event gửi Event Log service làm audit; DB Commerce không có bảng audit_log — order_status_history là bản ghi gốc).</t>
  </si>
  <si>
    <t>error</t>
  </si>
  <si>
    <t>business rule</t>
  </si>
  <si>
    <t>ORDER.UPDATE_STATUS (NEW) / Admin</t>
  </si>
  <si>
    <t>400 VALIDATION_ERROR; 409 INVALID_STATUS_TRANSITION; 404
 + Lỗi chung: 401/403/429/500 (xem sheet Error Codes)</t>
  </si>
  <si>
    <t>Đi qua OrderStateMachine (ORD-18) như mọi luồng khác, chỉ khác actor.</t>
  </si>
  <si>
    <t>{
  "msg": "Lấy thông tin cá nhân thành công",
  "data": {
    "id": "uuid",
    "email": "string",
    "username": "string | null",
    "firstName": "string",
    "lastName": "string",
    "phoneNumber": "string",
    "avatarUrl": "string",
    "address": "string",
    "reputationScore": "int",
    "trustLevel": "string",
    "roles": "string[]",
    "permissions": "string[]",
    "isSeller": "boolean",
    "createdAt": "timestamp"
  }
}</t>
  </si>
  <si>
    <t>AUC-01</t>
  </si>
  <si>
    <t>ORD-13</t>
  </si>
  <si>
    <t>Admin/Support refund / Hoàn tiền thủ công</t>
  </si>
  <si>
    <t>CAT-28</t>
  </si>
  <si>
    <t>GetAuctions</t>
  </si>
  <si>
    <t>Yêu cầu hoàn tiền cho đơn đã giao/hoàn tất hoặc huỷ chưa hoàn. (EN: manual refund)</t>
  </si>
  <si>
    <t>Xóa đánh giá của mình</t>
  </si>
  <si>
    <t>API – POST /api/v1/admin/orders/{orderId}/refund?orderType=</t>
  </si>
  <si>
    <t>Buyer tự xóa (xóa mềm) đánh giá của mình.</t>
  </si>
  <si>
    <t>GET /api/v1/auctions
 Danh sách phiên đấu giá có phân trang và bộ lọc.</t>
  </si>
  <si>
    <t>Header: Idempotency-Key
 Body: {reasonCode, reasonNote, amount?} (MVP: chỉ hoàn toàn phần)</t>
  </si>
  <si>
    <t>202 {orderId, refundStatus:'REQUESTED'}</t>
  </si>
  <si>
    <t>DELETE /api/v1/reviews/{id}</t>
  </si>
  <si>
    <t>- status ∈ {DELIVERED, COMPLETED, CANCELLED(đã trả tiền, chưa hoàn)}
 - Chưa có order_refunds ở trạng thái REQUESTED/COMPLETED cho order (UNIQUE partial)
 - amount (nếu có) = total_amount (MVP)</t>
  </si>
  <si>
    <t>Payment (async): OrderRefundRequested.</t>
  </si>
  <si>
    <t>Đánh giá thuộc người đăng nhập; chưa IsDeleted</t>
  </si>
  <si>
    <t>OrderRefundRequested</t>
  </si>
  <si>
    <t>ProductReviewDeleted (đề xuất)</t>
  </si>
  <si>
    <t>1 local TX: INSERT order_refunds(status=REQUESTED, amount, reason) + history + outbox (KHÔNG ghi vào order_cancellations vì đơn không bị huỷ). Kết quả về ở ORD-14.</t>
  </si>
  <si>
    <t>ORDER.REFUND / Admin, Support</t>
  </si>
  <si>
    <t>Có: IsDeleted = true, DeletedAt; trừ StarSum và ReviewCount nếu đánh giá đang PUBLISHED; ghi AuditLogs trong 1 transaction</t>
  </si>
  <si>
    <t>404; 409 REFUND_NOT_ALLOWED; 409 REFUND_ALREADY_REQUESTED; 422 IDEMPOTENCY_KEY_REUSED
 + Lỗi chung: 401/403/429/500 (xem sheet Error Codes)</t>
  </si>
  <si>
    <t>Query
 {
  "page": "int (optional, default 1)",
  "pageSize": "int (optional, default 20, tối đa 100)",
  "status": "AuctionStatus (optional, nhiều giá trị cách nhau dấu phẩy)",
  "sellerId": "UUID (optional)",
  "productId": "UUID (optional)",
  "endingSoon": "boolean (optional, true = sắp kết thúc trong 1 giờ)"
 }</t>
  </si>
  <si>
    <t>401 UNAUTHORIZED; 403 FORBIDDEN; 404 REVIEW_NOT_FOUND</t>
  </si>
  <si>
    <t>Bảng order_refunds là BẮT BUỘC cho MVP (gap #12) để lưu trạng thái refund REQUESTED|COMPLETED|FAILED và chặn refund trùng; refundStatus ở response đọc từ bảng này. Hoàn tiền một phần theo yêu cầu admin chưa hỗ trợ ở MVP, nhưng refund của order lẻ trong group luôn là partial trên giao dịch của group (xem ORD-06). Nếu seller đã được settle thì Payment tự thu hồi (clawback).</t>
  </si>
  <si>
    <t>200 OK
 {
  "items": [
  {
  "auctionId": "UUID",
  "productId": "UUID",
  "skuId": "UUID",
  "sellerId": "UUID",
  "productName": "string",
  "startingPriceAmount": "number",
  "currentPriceAmount": "number | null",
  "bidStepAmount": "number",
  "bidCount": "int",
  "startsAt": "datetime",
  "endsAt": "datetime",
  "status": "DRAFT | SCHEDULED | RUNNING | ENDED | SETTLED | FAILED | CANCELLED",
  "createdAt": "datetime"
  }
  ],
  "total": "int",
  "page": "int",
  "pageSize": "int"
 }</t>
  </si>
  <si>
    <t>Chỉ xóa mềm; xóa rồi không đánh giá lại được lượt mua đó (PurchaseRecordId duy nhất); đang HIDDEN thì không trừ điểm lần nữa; IsDeleted đã true thì không đặt lại false</t>
  </si>
  <si>
    <t>ORD-14</t>
  </si>
  <si>
    <t>Handle refund result / Nhận kết quả hoàn tiền</t>
  </si>
  <si>
    <t>• page ≥ 1, pageSize từ 1 đến 100
 • status thuộc 7 giá trị AuctionStatus
 • sellerId, productId đúng định dạng UUID
 • Token là tùy chọn</t>
  </si>
  <si>
    <t>Consumer RefundCompleted/RefundFailed từ Payment. (EN: refund result consumer)</t>
  </si>
  <si>
    <t>Event consumer – payment.refund.*</t>
  </si>
  <si>
    <t>USER-01</t>
  </si>
  <si>
    <t>Chỉ đọc: auctions, auction_states</t>
  </si>
  <si>
    <t>{eventId, referenceType, referenceId, refundTransactionId, amount, status, failureCode}</t>
  </si>
  <si>
    <t>• Công khai, không cần đăng nhập
 • Token là tùy chọn</t>
  </si>
  <si>
    <t>GRPC-05 (GetUserContact - Notification &amp; Fulfillment)</t>
  </si>
  <si>
    <t>• 400 VALIDATION_ERROR</t>
  </si>
  <si>
    <t>- Dedupe inbox; amount ≤ total_amount</t>
  </si>
  <si>
    <t>CAT-29</t>
  </si>
  <si>
    <t>• Mọi phiên đều công khai
 • currentPriceAmount là null khi chưa ai bid
 • endsAt là giờ kết thúc hiện tại, đã cộng các lần gia hạn
 • Ảnh sản phẩm FE lấy từ Catalog bằng productId</t>
  </si>
  <si>
    <t>OrderRefundCompleted | (RefundFailed → alert, không phát event nghiệp vụ)</t>
  </si>
  <si>
    <t>Ẩn hoặc bỏ ẩn đánh giá</t>
  </si>
  <si>
    <t>AUC-02</t>
  </si>
  <si>
    <t>1 local TX: INSERT inbox → order_refunds(status=COMPLETED|FAILED, refund_transaction_id) + order_cancellations.refund_transaction_id (nếu có) → orders.status=REFUNDED (CAS) → history → outbox.</t>
  </si>
  <si>
    <t>GetAuctionById</t>
  </si>
  <si>
    <t>Admin hoặc Support Staff kiểm duyệt: ẩn đánh giá vi phạm hoặc cho hiển thị lại.</t>
  </si>
  <si>
    <t>RefundFailed: retry theo policy, quá ngưỡng → đánh dấu để Support đối soát thủ công (SRS 5.2).</t>
  </si>
  <si>
    <t>GET /api/v1/auctions/{auctionId}
 Chi tiết một phiên: giá, thời gian đếm ngược, người dẫn đầu.</t>
  </si>
  <si>
    <t>Order huỷ sau paid kết thúc ở REFUNDED. Idempotent theo refundTransactionId.</t>
  </si>
  <si>
    <t>PATCH /api/v1/reviews/{id}/moderation | Body: Status (PUBLISHED hoặc HIDDEN)</t>
  </si>
  <si>
    <t>Path
 {
  "auctionId": "UUID"
 }</t>
  </si>
  <si>
    <t>ORD-15</t>
  </si>
  <si>
    <t>Generate invoice / Sinh hoá đơn</t>
  </si>
  <si>
    <t>200 OK | ReviewId; Status</t>
  </si>
  <si>
    <t>Tạo hoá đơn khi đơn COMPLETED, gửi sang Notification (SRS 3.4.3.6). (EN: invoice generation)</t>
  </si>
  <si>
    <t>Đánh giá tồn tại; Status thuộc PUBLISHED hoặc HIDDEN; chỉ đổi điểm khi đánh giá chưa IsDeleted</t>
  </si>
  <si>
    <t>Event consumer (OrderCompleted, nội bộ) + worker bất đồng bộ</t>
  </si>
  <si>
    <t>{orderId|auctionOrderId, totalAmount}</t>
  </si>
  <si>
    <t>order_invoices {invoice_no, file_url, status}</t>
  </si>
  <si>
    <t>ProductReviewModerated (đề xuất)</t>
  </si>
  <si>
    <t>Cập nhật thông tin hồ sơ cá nhân</t>
  </si>
  <si>
    <t>200 OK
 {
  "auctionId": "UUID",
  "sellerId": "UUID",
  "product": {
  "productId": "UUID",
  "skuId": "UUID",
  "name": "string"
  },
  "pricing": {
  "startingPriceAmount": "number",
  "bidStepAmount": "number",
  "currentPriceAmount": "number | null",
  "minNextBidAmount": "number"
  },
  "timing": {
  "startsAt": "datetime",
  "endsAt": "datetime",
  "originalEndsAt": "datetime",
  "startedAt": "datetime | null",
  "endedAt": "datetime | null",
  "extensionCount": "int",
  "maxExtensionCount": "int",
  "antiSnipingExtensionMinutes": "int"
  },
  "stats": {
  "bidCount": "int",
  "currentLeadingBidderMasked": "string | null",
  "isLeading": "boolean"
  },
  "rules": {
  "minReputationToBid": "int",
  "minReputationToSell": "int"
  },
  "status": "DRAFT | SCHEDULED | RUNNING | ENDED | SETTLED | FAILED | CANCELLED",
  "statusReason": "string | null",
  "recreatedFromAuctionId": "UUID | null",
  "result": {
  "hasWinner": "boolean",
  "finalPriceAmount": "number | null",
  "determinedAt": "datetime"
  },
  "rowVersion": "long",
  "createdAt": "datetime",
  "updatedAt": "datetime",
  "serverTime": "datetime"
 }
 Ghi chú field
 minNextBidAmount = startingPriceAmount nếu chưa ai bid, ngược lại currentPriceAmount + bidStepAmount
 endsAt là giờ kết thúc hiện tại (đã cộng gia hạn), originalEndsAt là giờ kết thúc gốc
 isLeading = người đang gọi là người dẫn đầu (cần token)
 currentLeadingBidderMasked = tên đã che của người dẫn đầu
 rowVersion gửi lại trong header If-Match khi đặt giá
 statusReason chỉ có khi FAILED hoặc CANCELLED
 result = null khi phiên chưa chốt
 Ảnh, mô tả, tình trạng sản phẩm FE lấy từ Catalog bằng productId</t>
  </si>
  <si>
    <t>- Chưa có invoice cho order (UNIQUE order_id / auction_order_id)</t>
  </si>
  <si>
    <t>Object Storage: upload PDF.</t>
  </si>
  <si>
    <t>• auctionId đúng định dạng UUID
 • Phiên tồn tại
 • Token là tùy chọn</t>
  </si>
  <si>
    <t>Có: cập nhật Status, cộng hoặc trừ ProductRatingStats, ghi AuditLogs trong 1 transaction (SRS 3.1.2.8 yêu cầu ghi nhận)</t>
  </si>
  <si>
    <t>InvoiceGenerated (NEW) → Notification gửi email</t>
  </si>
  <si>
    <t>Headers: { "Authorization": "Bearer JWT" }
Body:
{
  "username": "string (optional, max 100)",
  "first_name": "string",
  "last_name": "string",
  "phone_number": "string",
  "address": {
    "province_id": "int",
    "district_id": "int",
    "ward_code": "string",
    "street_address": "string"
  }
}</t>
  </si>
  <si>
    <t>Chỉ đọc: auctions, auction_states, bid_history, auction_results, auction_status_history</t>
  </si>
  <si>
    <t>TX-1: sinh invoice_no INV-YYYYMMDD-NNNNNN (daily_order_sequences, seq_type=INVOICE_NO) + INSERT order_invoices(status=GENERATED, file_url NULL) + outbox. Worker render PDF → upload → UPDATE file_url (retry nếu lỗi).</t>
  </si>
  <si>
    <t>400 VALIDATION_FAILED; 401 UNAUTHORIZED; 403 FORBIDDEN; 404 REVIEW_NOT_FOUND</t>
  </si>
  <si>
    <t>{
  "msg": "Cập nhật hồ sơ thành công",
  "data": {
    "id": "uuid",
    "username": "string | null",
    "firstName": "string",
    "lastName": "string",
    "phoneNumber": "string",
    "avatarUrl": "string",
    "address": "string",
    "updatedAt": "timestamp"
  }
}</t>
  </si>
  <si>
    <t>• 400 VALIDATION_ERROR
 • 404 AUCTION_NOT_FOUND</t>
  </si>
  <si>
    <t>STORAGE_UNAVAILABLE → retry; sau N lần status=FAILED + alert.</t>
  </si>
  <si>
    <t>PUBLISHED sang HIDDEN thì trừ điểm; HIDDEN sang PUBLISHED thì cộng lại; đánh giá đã IsDeleted thì không đổi điểm và vẫn không hiển thị</t>
  </si>
  <si>
    <t>• Tên người dẫn đầu luôn được che, không trả userId
 • Không có token thì isLeading = false</t>
  </si>
  <si>
    <t>- 400 Bad Request: ERR_VALIDATION_FAILED: Dữ liệu không hợp lệ hoặc địa chỉ sai
- 409 Conflict: ERR_USERNAME_DUPLICATE: Username đã được người khác sử dụng
- 409 Conflict: ERR_PHONE_DUPLICATE: SĐT đã được người khác sử dụng</t>
  </si>
  <si>
    <t>AUC-03</t>
  </si>
  <si>
    <t>Idempotent theo order. Notification lỗi không làm fail order (SRS 5.2).</t>
  </si>
  <si>
    <t>GetBidHistory</t>
  </si>
  <si>
    <t>USER-02</t>
  </si>
  <si>
    <t>GET /api/v1/auctions/{auctionId}/bids
 Lịch sử đặt giá đã che tên, mới nhất trước.</t>
  </si>
  <si>
    <t>ORD-16</t>
  </si>
  <si>
    <t>Download invoice / Tải hoá đơn</t>
  </si>
  <si>
    <t>Path
 {
  "auctionId": "UUID"
 }
 Query
 {
  "page": "int (optional, default 1)",
  "pageSize": "int (optional, default 20, tối đa 100)"
 }</t>
  </si>
  <si>
    <t>Lấy link tải hoá đơn. (EN: invoice download link)</t>
  </si>
  <si>
    <t>API – GET /api/v1/orders/{orderId}/invoice?orderType=</t>
  </si>
  <si>
    <t>200 OK
 {
  "items": [
  {
  "bidId": "UUID",
  "sequenceNo": "int",
  "displayName": "string",
  "amount": "number",
  "placedAt": "datetime",
  "isOutbid": "boolean",
  "isWinning": "boolean",
  "isInvalidated": "boolean",
  "isMine": "boolean"
  }
  ],
  "total": "int",
  "page": "int",
  "pageSize": "int"
 }</t>
  </si>
  <si>
    <t>Path: orderId</t>
  </si>
  <si>
    <t>• auctionId đúng định dạng UUID
 • page ≥ 1, pageSize từ 1 đến 100
 • Phiên tồn tại
 • Token là tùy chọn</t>
  </si>
  <si>
    <t>CAT-30</t>
  </si>
  <si>
    <t>200 {invoiceNo, status, issuedAt, downloadUrl (presigned, TTL 5 phút)}</t>
  </si>
  <si>
    <t>- Quyền xem order; invoice đã GENERATED và có file_url</t>
  </si>
  <si>
    <t>Danh sách đánh giá của sản phẩm</t>
  </si>
  <si>
    <t>Chỉ đọc: bid_history</t>
  </si>
  <si>
    <t>Object Storage: tạo presigned URL.</t>
  </si>
  <si>
    <t>Lấy các đánh giá đang hiển thị của một sản phẩm, có phân trang.</t>
  </si>
  <si>
    <t>ORDER.INVOICE.VIEW (NEW) / Buyer (own), Seller (own), Admin, Support</t>
  </si>
  <si>
    <t>• Không trả bidderId, chỉ trả displayName đã che
 • isInvalidated = true là bid bị loại lúc chốt phiên, vẫn hiện trong lịch sử
 • bid_history chỉ để hiển thị, không dùng để chọn người thắng
 • Không có token thì isMine = false</t>
  </si>
  <si>
    <t>404 ORDER_NOT_FOUND; 404 INVOICE_NOT_READY
 + Lỗi chung: 401/403/429/500 (xem sheet Error Codes)</t>
  </si>
  <si>
    <t>AUC-04</t>
  </si>
  <si>
    <t>Không trả file_url thô (bảo mật).</t>
  </si>
  <si>
    <t>GET /api/v1/products/{id}/reviews | Query: Page; PageSize; Rating; SortBy</t>
  </si>
  <si>
    <t>AuctionHub</t>
  </si>
  <si>
    <t>Hub /hubs/auction (SignalR, WebSocket)
 FE nối vào, JoinAuction để nhận giá mới tức thì.</t>
  </si>
  <si>
    <t>200 OK | Items[ReviewId, Rating, Comment, CreatedAt, ReviewerName]; Page; PageSize; Total</t>
  </si>
  <si>
    <t>ORD-17</t>
  </si>
  <si>
    <t>Hub (SignalR)</t>
  </si>
  <si>
    <t>Generate order number / Sinh mã đơn</t>
  </si>
  <si>
    <t>Id sản phẩm hợp lệ; Page và PageSize hợp lệ; Rating từ 1 đến 5 nếu có</t>
  </si>
  <si>
    <t>JoinAuction
 {
  "auctionId": "UUID"
 }
 LeaveAuction
 {
  "auctionId": "UUID"
 }</t>
  </si>
  <si>
    <t>Sinh ORD-/AOR-/INV- theo ngày bằng daily_order_sequences. (EN: daily sequence generator)</t>
  </si>
  <si>
    <t>Internal – SequenceService.next(seqType)</t>
  </si>
  <si>
    <t>/api/v1/me/avatar</t>
  </si>
  <si>
    <t>Input: seq_type = ORDER_NO | AUCTION_ORDER_NO | INVOICE_NO</t>
  </si>
  <si>
    <t>JoinAuction trả về snapshot
 {
  "auctionId": "UUID",
  "status": "SCHEDULED | RUNNING | ENDED | SETTLED | FAILED | CANCELLED",
  "currentPriceAmount": "number | null",
  "minNextBidAmount": "number",
  "bidCount": "int",
  "extensionCount": "int",
  "endsAt": "datetime",
  "rowVersion": "long",
  "serverTime": "datetime"
 }
 LeaveAuction: không trả</t>
  </si>
  <si>
    <t>User Service: lấy tên hiển thị người đánh giá theo danh sách BuyerId (ghép ở API Gateway hoặc gọi theo lô)</t>
  </si>
  <si>
    <t>Output: 'ORD-20261019-000123'</t>
  </si>
  <si>
    <t>Xem ảnh avatar cá nhân</t>
  </si>
  <si>
    <t>- last_value &lt; 999999/ngày (vượt → mở rộng độ dài)</t>
  </si>
  <si>
    <t>• auctionId đúng định dạng UUID
 • Phiên tồn tại
 • Phiên không phải DRAFT (áp dụng cho JoinAuction)</t>
  </si>
  <si>
    <t>{
  "msg": "Lấy avatar thành công",
  "data": {
    "userId": "uuid",
    "avatarUrl": "string"
  }
}</t>
  </si>
  <si>
    <t>Mọi vai trò</t>
  </si>
  <si>
    <t>Chỉ đọc auction_states. Thêm hoặc bỏ kết nối khỏi nhóm auction-{auctionId}, không ghi DB</t>
  </si>
  <si>
    <t>400 VALIDATION_FAILED; 404 PRODUCT_NOT_FOUND</t>
  </si>
  <si>
    <t>• Công khai, không cần đăng nhập</t>
  </si>
  <si>
    <t>INSERT … ON CONFLICT (seq_date, seq_type) DO UPDATE SET last_value=last_value+1 RETURNING last_value. Gọi TRƯỚC khi mở TX nghiệp vụ (TX riêng rất ngắn, autocommit) để không giữ row-lock suốt TX checkout; tránh REQUIRES_NEW lồng trong TX khác vì cần 2 connection/request (nguy cơ cạn connection pool).</t>
  </si>
  <si>
    <t>• AUCTION_NOT_FOUND
 • FORBIDDEN (phiên DRAFT)</t>
  </si>
  <si>
    <t>SEQUENCE_OVERFLOW</t>
  </si>
  <si>
    <t>Chỉ trả đánh giá Status = PUBLISHED và IsDeleted = false; mặc định sắp xếp mới nhất; không trả BuyerId nội bộ cho client</t>
  </si>
  <si>
    <t>Cho phép lỗ số (rollback). Ngày tính theo SYSTEM_TIMEZONE (cần chốt UTC hay Asia/Ho_Chi_Minh – gap #13). So sánh phương án ở sheet Design Decisions #6.</t>
  </si>
  <si>
    <t>• Hub chỉ đẩy xuống, không nhận hành động ghi nào
 • Chỉ gửi dữ liệu công khai, không có userId
 • Rớt mạng thì FE nối lại và gọi JoinAuction lại
 • Đặt giá vẫn là POST có đăng nhập</t>
  </si>
  <si>
    <t>AUC-05</t>
  </si>
  <si>
    <t>ORD-18</t>
  </si>
  <si>
    <t>AuctionRealtimePublisher</t>
  </si>
  <si>
    <t>Order state machine / Kiểm soát chuyển trạng thái</t>
  </si>
  <si>
    <t>Hàm nội bộ: đẩy tin xuống nhóm của phiên. Gọi sau khi transaction commit.</t>
  </si>
  <si>
    <t>Realtime push (server → client)</t>
  </si>
  <si>
    <t>Hàm trung tâm kiểm tra transition + CAS update + ghi history. (EN: central state-machine guard)</t>
  </si>
  <si>
    <t>Input
 {
  "auctionId": "UUID",
  "message": "BidPlaced | AuctionStatusChanged",
  "data": "object"
 }</t>
  </si>
  <si>
    <t>Internal – OrderStateMachine.transition(order, toStatus, actor, reason)</t>
  </si>
  <si>
    <t>Input: orderId, toStatus, actorRole (BUYER|SELLER|ADMIN|SUPPORT_STAFF|SYSTEM), changedBy, reason</t>
  </si>
  <si>
    <t>Output: order mới + allowedActions</t>
  </si>
  <si>
    <t>Tin BidPlaced
 {
  "auctionId": "UUID",
  "bidId": "UUID",
  "bidSeq": "int",
  "displayName": "string",
  "amount": "number",
  "placedAt": "datetime",
  "currentPriceAmount": "number",
  "minNextBidAmount": "number",
  "bidCount": "int",
  "endsAt": "datetime",
  "extensionCount": "int",
  "extended": "boolean",
  "rowVersion": "long",
  "serverTime": "datetime"
 }
 Tin AuctionStatusChanged
 {
  "auctionId": "UUID",
  "status": "SCHEDULED | RUNNING | ENDED | SETTLED | FAILED | CANCELLED",
  "statusReason": "string | null",
  "result": {
  "hasWinner": "boolean",
  "finalPriceAmount": "number | null",
  "determinedAt": "datetime"
  },
  "occurredAt": "datetime"
 }
 Ghi chú: result chỉ có khi status = ENDED, các trường hợp khác là null</t>
  </si>
  <si>
    <t>- Cặp (from→to) hợp lệ theo bảng ở sheet Status &amp; Formula
 - Actor được phép cho transition đó</t>
  </si>
  <si>
    <t>• Chỉ đẩy sau khi transaction đã commit
 • Chỉ gửi dữ liệu công khai</t>
  </si>
  <si>
    <t>CAT-31</t>
  </si>
  <si>
    <t>Phát event theo trạng thái đích (qua outbox).</t>
  </si>
  <si>
    <t>Lấy tổng hợp điểm đánh giá</t>
  </si>
  <si>
    <t>• Đẩy BidPlaced (từ PlaceBid)
 • Đẩy AuctionStatusChanged (từ TransitionStatus)</t>
  </si>
  <si>
    <t>Không ghi DB, chạy sau commit</t>
  </si>
  <si>
    <t>Luôn chạy trong TX của caller: UPDATE … WHERE id=? AND status=:from AND row_version=:v → rowcount=0 ⇒ 409 ORDER_STATE_CONFLICT. INSERT order_status_history(order_id XOR auction_order_id).</t>
  </si>
  <si>
    <t>Lấy điểm trung bình và số lượt đánh giá của sản phẩm.</t>
  </si>
  <si>
    <t>Gửi lỗi thì ghi log, không làm hỏng giao dịch đã commit</t>
  </si>
  <si>
    <t>409 INVALID_STATUS_TRANSITION; 409 ORDER_STATE_CONFLICT</t>
  </si>
  <si>
    <t>• Gửi tới nhóm auction-{auctionId}
 • Lỡ tin thì FE đối chiếu bằng GET /api/v1/auctions/{auctionId}
 • Chạy một instance thì không cần Redis</t>
  </si>
  <si>
    <t>GET /api/v1/products/{id}/rating (hoặc gộp trong CAT-05)</t>
  </si>
  <si>
    <t>AUC-06</t>
  </si>
  <si>
    <t>200 OK | AvgRating; ReviewCount</t>
  </si>
  <si>
    <t>HealthCheck</t>
  </si>
  <si>
    <t>Mọi thay đổi status phải đi qua hàm này (không UPDATE trực tiếp). Timestamp tương ứng (paid_at, shipped_at…) set tại đây.</t>
  </si>
  <si>
    <t>GET /health/ready
 Kiểm tra kết nối DB và message broker.</t>
  </si>
  <si>
    <t>Id sản phẩm hợp lệ</t>
  </si>
  <si>
    <t>USER-06B</t>
  </si>
  <si>
    <t>ORD-19</t>
  </si>
  <si>
    <t>200 OK
 {
  "status": "Healthy | Unhealthy",
  "checks": {
  "database": "Healthy | Unhealthy",
  "messageBroker": "Healthy | Unhealthy"
  }
 }</t>
  </si>
  <si>
    <t>Idempotency handling / Xử lý idempotency</t>
  </si>
  <si>
    <t>• Kiểm tra kết nối DB
 • Kiểm tra kết nối message broker</t>
  </si>
  <si>
    <t>Filter chung cho POST nhạy cảm (checkout, pay, cancel, refund). (EN: idempotency interceptor)</t>
  </si>
  <si>
    <t>Hạ tầng, không cần đăng nhập</t>
  </si>
  <si>
    <t>404 PRODUCT_NOT_FOUND</t>
  </si>
  <si>
    <t>• 503 SERVICE_UNAVAILABLE</t>
  </si>
  <si>
    <t>FE không dùng API này</t>
  </si>
  <si>
    <t>Internal – IdempotencyFilter (header Idempotency-Key)</t>
  </si>
  <si>
    <t>AUC-07</t>
  </si>
  <si>
    <t>PlaceBid</t>
  </si>
  <si>
    <t>Header: Idempotency-Key; scope = endpoint+userId; request_hash = SHA-256(body)</t>
  </si>
  <si>
    <t>AvgRating = StarSum chia ReviewCount, bằng 0 khi chưa có đánh giá; chỉ tính đánh giá PUBLISHED chưa xóa; số liệu lấy từ bảng tổng hợp nên không phải tính lại mỗi lần</t>
  </si>
  <si>
    <t>POST /api/v1/auctions/{auctionId}/bids
 Đặt giá cho phiên đang chạy.</t>
  </si>
  <si>
    <t>Replay response đã lưu (response_status, response_body)</t>
  </si>
  <si>
    <t>Path
 {
  "auctionId": "UUID"
 }
 Header
 {
  "Idempotency-Key": "UUID",
  "If-Match": "long (rowVersion)"
 }
 Body
 {
  "amount": "number"
 }</t>
  </si>
  <si>
    <t>- Key thiếu → 400
 - Key đã có &amp; hash khác → 422
 - Key đang xử lý (response_status NULL) → 409</t>
  </si>
  <si>
    <t>201 Created
 {
  "bidId": "UUID",
  "auctionId": "UUID",
  "bidSeq": "int",
  "amount": "number",
  "placedAt": "datetime",
  "currentPriceAmount": "number",
  "minNextBidAmount": "number",
  "bidCount": "int",
  "endsAt": "datetime",
  "extensionCount": "int",
  "extended": "boolean",
  "isLeading": "boolean",
  "rowVersion": "long"
 }</t>
  </si>
  <si>
    <t>CAT-32</t>
  </si>
  <si>
    <t>Tải lên và cập nhật avatar cá nhân</t>
  </si>
  <si>
    <t>• auctionId đúng định dạng UUID
 • Idempotency-Key và If-Match có mặt
 • amount &gt; 0, tối đa 2 chữ số thập phân
 • Cùng Idempotency-Key và scope BID: nội dung giống thì trả lại response đã lưu, nội dung khác thì từ chối
 • Phiên tồn tại
 • Phiên đã kết thúc (ENDED, SETTLED, FAILED, CANCELLED) hoặc quá endsAt thì từ chối
 • Phiên chưa chạy (DRAFT, SCHEDULED) thì từ chối
 • If-Match khớp rowVersion hiện tại của phiên
 • Người đặt giá không bị khóa và điểm uy tín ≥ minReputationToBid (mặc định 40)
 • amount ≥ startingPriceAmount nếu chưa ai bid, ngược lại amount ≥ giá hiện tại + bước giá
 • UPDATE có điều kiện status = RUNNING và row_version, không ghi được dòng nào thì báo xung đột</t>
  </si>
  <si>
    <t>Xử lý event OrderCreated</t>
  </si>
  <si>
    <t>INSERT idempotency_keys(key, scope, request_hash, expires_at=now+24h) trước khi xử lý (PK conflict ⇒ đã có) → xử lý → UPDATE response_status/body trong TX cuối của luồng (saga nhiều TX như CHK-02: ở TX-2 hoặc TX-3, không phải TX-1). Key bị treo (response_status NULL) do crash → ORD-21 finalize. Job dọn expires_at &lt; now().</t>
  </si>
  <si>
    <t>Headers:
{
  "Authorization": "Bearer JWT",
  "Content-Type": "multipart/form-data"
}
Body:
{
  "file": "binary (image/jpeg, image/png, image/webp, max 5MB)"
}</t>
  </si>
  <si>
    <t>User service (gRPC)
 CheckReputation
 Request
 {
  "action": "BID",
  "userIds": [
  "UUID"
  ]
 }
 Response
 {
  "results": [
  {
  "userId": "UUID",
  "allowed": "boolean",
  "reason": "string | null",
  "reputationScore": "int",
  "trustLevel": "string"
  }
  ]
 }
 Auction tự so reputationScore với minReputationToBid. User service không trả lời thì từ chối với 503</t>
  </si>
  <si>
    <t>Nhận event từ Commerce khi có đơn mới và đánh dấu các variant đã từng có đơn.</t>
  </si>
  <si>
    <t>• Phát: BidOutbid (nếu có người dẫn đầu trước)
 • Phát: BidPlaced
 • Phát: AuditLogRequested
 • Đẩy hub sau commit: BidPlaced</t>
  </si>
  <si>
    <t>{
  "msg": "Cập nhật ảnh đại diện thành công",
  "data": {
    "avatarUrl": "string",
    "updatedAt": "timestamp"
  }
}</t>
  </si>
  <si>
    <t>Event consumer</t>
  </si>
  <si>
    <t>400 IDEMPOTENCY_KEY_REQUIRED; 422 IDEMPOTENCY_KEY_REUSED; 409 REQUEST_IN_PROGRESS</t>
  </si>
  <si>
    <t>Event OrderCreated | EventId; OrderId; Items[ProductId, VariantId, Quantity]</t>
  </si>
  <si>
    <t>Event consumer dùng inbox_messages (message_id, consumer) thay cho idempotency_keys. Callback payment: PAYMENT_IDEMPOTENCY_WINDOW_MINUTES=60 (đặt ở Payment Service).</t>
  </si>
  <si>
    <t>• Một transaction, lỗi giữa chừng thì rollback toàn bộ:
 • UPDATE auction_states có điều kiện row_version (giá, người dẫn đầu, bid_count + 1, row_version + 1)
 • INSERT bids (bid_seq = bid_count mới)
 • INSERT bid_history, cập nhật is_outbid và is_winning của người dẫn đầu trước
 • Nếu gia hạn: UPDATE auction_states (scheduled_end_at, extension_count + 1) và INSERT auction_extensions
 • INSERT outbox_messages
 • Lưu response vào idempotency_keys
 • Sau khi commit (ngoài transaction): AuctionRealtimePublisher đẩy BidPlaced xuống hub</t>
  </si>
  <si>
    <t>• Buyer
 • Quyền AUCTION.BID</t>
  </si>
  <si>
    <t>Không có (xác nhận đã xử lý message với message broker)</t>
  </si>
  <si>
    <t>ORD-20</t>
  </si>
  <si>
    <t>Outbox publisher / Phát event từ outbox</t>
  </si>
  <si>
    <t>• 400 VALIDATION_ERROR
 • 403 BIDDER_NOT_ELIGIBLE (uy tín thấp hoặc tài khoản bị khóa)
 • 404 AUCTION_NOT_FOUND
 • 409 CONCURRENT_UPDATE (If-Match lệch hoặc có người đặt trước)
 • 410 AUCTION_ENDED
 • 422 AUCTION_NOT_RUNNING
 • 422 BID_TOO_LOW (details: minNextBidAmount)
 • 422 IDEMPOTENCY_KEY_REUSED
 • 503 USER_SERVICE_UNAVAILABLE
 • 401 UNAUTHORIZED</t>
  </si>
  <si>
    <t>EventId chưa được xử lý (chống trùng); Items có VariantId hợp lệ; variant không tồn tại thì ghi log và bỏ qua, không làm hỏng cả event</t>
  </si>
  <si>
    <t>Worker đẩy outbox_messages lên broker (at-least-once). (EN: transactional outbox relay)</t>
  </si>
  <si>
    <t>Scheduled/worker – mỗi ~1s</t>
  </si>
  <si>
    <t>• Không yêu cầu đặt cọc
 • Bảng bids chỉ thêm, không sửa, không xóa
 • Mỗi bid hợp lệ có bid_seq tăng dần, amount không trùng trong cùng phiên
 • Chống đặt giá phút chót: nếu endsAt - hiện tại ≤ antiSnipingExtensionMinutes (mặc định 5 phút) và extensionCount &lt; maxExtensionCount (mặc định 5) thì cộng antiSnipingExtensionMinutes phút vào endsAt
 • extended = true nghĩa là bid này vừa làm phiên được gia hạn</t>
  </si>
  <si>
    <t>Không phát event (nhận OrderCreated)</t>
  </si>
  <si>
    <t>AUC-08</t>
  </si>
  <si>
    <t>Metric publish/lag</t>
  </si>
  <si>
    <t>GetMyBids</t>
  </si>
  <si>
    <t>- Chỉ status=PENDING</t>
  </si>
  <si>
    <t>Message Broker (Kafka/RabbitMQ).</t>
  </si>
  <si>
    <t>Có: đặt HasOrder = true cho các variant và ghi nhận event đã xử lý trong 1 transaction (bảng inbox hoặc cơ chế tương đương, nhóm chốt)</t>
  </si>
  <si>
    <t>GET /api/v1/me/bids
 Các phiên người dùng hiện tại đã đặt giá.</t>
  </si>
  <si>
    <t>Mọi event của service (id = event_id)</t>
  </si>
  <si>
    <t>Hệ thống (không có người dùng)</t>
  </si>
  <si>
    <t>Query
 {
  "page": "int (optional, default 1)",
  "pageSize": "int (optional, default 20, tối đa 100)",
  "status": "AuctionStatus (optional)"
 }</t>
  </si>
  <si>
    <t>Lỗi xử lý thì thử lại; quá số lần thử thì đánh dấu FAILED để xử lý tay</t>
  </si>
  <si>
    <t>SELECT … WHERE status='PENDING' ORDER BY occurred_at LIMIT 100 FOR UPDATE SKIP LOCKED → publish (key=aggregate_id để giữ thứ tự) → UPDATE status='PUBLISHED', published_at. Lỗi: retry_count+1, last_error; vượt ngưỡng → DEAD.</t>
  </si>
  <si>
    <t>200 OK
 {
  "items": [
  {
  "auctionId": "UUID",
  "productId": "UUID",
  "productName": "string",
  "auctionStatus": "DRAFT | SCHEDULED | RUNNING | ENDED | SETTLED | FAILED | CANCELLED",
  "myHighestBidAmount": "number",
  "currentPriceAmount": "number | null",
  "isLeading": "boolean",
  "endsAt": "datetime",
  "lastBidAt": "datetime"
  }
  ],
  "total": "int",
  "page": "int",
  "pageSize": "int"
 }</t>
  </si>
  <si>
    <t>• page ≥ 1, pageSize từ 1 đến 100
 • status thuộc 7 giá trị AuctionStatus
 • JWT hợp lệ</t>
  </si>
  <si>
    <t>HasOrder không tự về false khi đơn bị hủy; event có thể đến lặp nên phải xử lý idempotent (SRS 5.3); cờ này dùng để chặn xóa sản phẩm và variant đã có đơn (CAT-04, CAT-11)</t>
  </si>
  <si>
    <t>Broker down → tạm dừng publish (MessageBrokerUnavailable/Recovered), nghiệp vụ không bị chặn (SRS 3.2.2.1).</t>
  </si>
  <si>
    <t>Chỉ đọc: bids (index bidder_id, placed_at), auction_states</t>
  </si>
  <si>
    <t>USER-06</t>
  </si>
  <si>
    <t>• Buyer
 • Đã đăng nhập</t>
  </si>
  <si>
    <t>• 400 VALIDATION_ERROR
 • 401 UNAUTHORIZED</t>
  </si>
  <si>
    <t>Event ghi vào outbox CÙNG TX với thay đổi dữ liệu. Consumer phải idempotent. Job dọn outbox PUBLISHED cũ &gt; 7 ngày. Giữ thứ tự theo aggregate: chỉ 1 publisher active (ShedLock) hoặc phân vùng publisher theo hash(aggregate_id); SKIP LOCKED với nhiều publisher có thể phát sai thứ tự trong cùng aggregate. Index (status, occurred_at) WHERE status='PENDING'.</t>
  </si>
  <si>
    <t>• Chỉ trả phiên của chính người gọi
 • myHighestBidAmount là giá cao nhất người đó đã đặt trong phiên</t>
  </si>
  <si>
    <t>ORD-21</t>
  </si>
  <si>
    <t>AUC-09</t>
  </si>
  <si>
    <t>GetAuctionResult</t>
  </si>
  <si>
    <t>Saga recovery / Job phục hồi saga treo</t>
  </si>
  <si>
    <t>GET /api/v1/auctions/{auctionId}/result
 Kết quả chốt phiên và tiến độ xử lý đơn.</t>
  </si>
  <si>
    <t>Quét saga_state kẹt để retry hoặc compensate. (EN: stuck saga recovery)</t>
  </si>
  <si>
    <t>CAT-33</t>
  </si>
  <si>
    <t>Scheduled – mỗi 2 phút</t>
  </si>
  <si>
    <t>Xử lý event OrderCompleted</t>
  </si>
  <si>
    <t>Log số saga xử lý</t>
  </si>
  <si>
    <t>Nhận event khi đơn hoàn tất và tạo bản ghi đã mua để buyer được phép đánh giá.</t>
  </si>
  <si>
    <t>- current_state không terminal AND updated_at &lt; now()−5 phút</t>
  </si>
  <si>
    <t>200 OK
 {
  "auctionId": "UUID",
  "status": "DRAFT | SCHEDULED | RUNNING | ENDED | SETTLED | FAILED | CANCELLED",
  "hasWinner": "boolean",
  "winnerId": "UUID | null",
  "winnerDisplayName": "string | null",
  "sellerId": "UUID",
  "winningBidId": "UUID | null",
  "finalPriceAmount": "number | null",
  "determinedAt": "datetime",
  "orderId": "UUID | null",
  "paymentDeadlineAt": "datetime | null",
  "paidAt": "datetime | null",
  "progress": "ORDER_REQUESTED | AWAITING_PAYMENT | COMPLETED | FAILED | null"
 }
 Ghi chú field
 hasWinner = false khi không có bid hợp lệ, các field người thắng và giá là null
 orderId là null cho tới khi đơn được tạo
 progress là null khi không có người thắng</t>
  </si>
  <si>
    <t>Payment (GET trạng thái), Fulfillment (GET reservation).</t>
  </si>
  <si>
    <t>• auctionId đúng định dạng UUID
 • Phiên tồn tại
 • Người gọi là người thắng, seller của phiên hoặc Admin</t>
  </si>
  <si>
    <t>Event OrderCompleted | EventId; OrderId; BuyerId; CompletedAt; Items[ProductId, VariantId, Quantity]</t>
  </si>
  <si>
    <t>Tuỳ kết quả: OrderPaid / OrderCancelled / CheckoutExpired</t>
  </si>
  <si>
    <t>/api/v1/me/reputation</t>
  </si>
  <si>
    <t>Mỗi saga 1 TX riêng, CAS theo row_version.</t>
  </si>
  <si>
    <t>Chỉ đọc: auction_results, auction_settlements, saga_state</t>
  </si>
  <si>
    <t>Xem uy tín của bản thân</t>
  </si>
  <si>
    <t>SAGA_STUCK_ALERT nếu vẫn kẹt sau N lần.</t>
  </si>
  <si>
    <t>EventId chưa được xử lý; BuyerId, OrderId có giá trị; ProductId tồn tại</t>
  </si>
  <si>
    <t>• Người thắng, seller của phiên, Admin</t>
  </si>
  <si>
    <t>• 400 VALIDATION_ERROR
 • 404 AUCTION_NOT_FOUND
 • 401 UNAUTHORIZED
 • 403 FORBIDDEN</t>
  </si>
  <si>
    <t>Không phát event (nhận OrderCompleted)</t>
  </si>
  <si>
    <t>• finalPriceAmount là amount của bid thắng, không phải currentPriceAmount
 • progress lấy từ saga_state</t>
  </si>
  <si>
    <t>saga_type: CheckoutSaga | OrderCancellationSaga. correlation_id = checkout_group_id / order_id. State: CheckoutSaga = INVENTORY_RESERVING → AWAITING_PAYMENT → PAYMENT_PENDING → COMPLETED | COMPENSATED; OrderCancellationSaga (đề xuất) = CANCELLING → REFUND_PENDING → COMPLETED | FAILED. Terminal = COMPLETED / COMPENSATED / FAILED. Đồng thời finalize idempotency_keys bị treo (xem ORD-19).</t>
  </si>
  <si>
    <t>{
  "msg": "Lấy thông tin uy tín cá nhân thành công",
  "data": {
    "userId": "uuid",
    "reputationScore": "int",
    "trustLevel": "string",
    "canBid": "boolean",
    "canSell": "boolean",
    "positiveRatingCount": "int",
    "negativeRatingCount": "int",
    "nextLevelThreshold": "int"
  }
}</t>
  </si>
  <si>
    <t>AUC-10</t>
  </si>
  <si>
    <t>Có: tạo PurchaseRecords (một dòng cho mỗi BuyerId, ProductId, OrderId) và ghi nhận event đã xử lý trong 1 transaction</t>
  </si>
  <si>
    <t>CreateAuction</t>
  </si>
  <si>
    <t>ORD-22</t>
  </si>
  <si>
    <t>POST /api/v1/auctions
 Seller tạo phiên đấu giá, giữ kho ảo 1 sản phẩm.</t>
  </si>
  <si>
    <t>Handle inventory events / Nhận sự kiện tồn kho</t>
  </si>
  <si>
    <t>Consumer InventoryReleased / InventoryReservationExpired từ Fulfillment: cập nhật cờ inventory_released và huỷ checkout chưa trả tiền khi reservation hết hạn. (EN: inventory event consumer)</t>
  </si>
  <si>
    <t>Body
 {
  "productId": "UUID",
  "skuId": "UUID",
  "startingPriceAmount": "number",
  "bidStepAmount": "number",
  "startsAt": "datetime",
  "endsAt": "datetime"
 }</t>
  </si>
  <si>
    <t>Event consumer – inventory.*</t>
  </si>
  <si>
    <t>{eventId, referenceId (checkoutGroupId | orderId), skuId, qty, occurredAt}</t>
  </si>
  <si>
    <t>SRS 3.1.2.1: chỉ cho đánh giá sau đơn hoàn tất; đơn có nhiều variant của cùng sản phẩm chỉ tạo 1 dòng; event lặp thì ràng buộc duy nhất (BuyerId, ProductId, OrderId) chặn trùng; đơn bị hủy hoặc hoàn tiền không có event này nên không tạo</t>
  </si>
  <si>
    <t>201 Created
 {
  "auctionId": "UUID",
  "status": "SCHEDULED",
  "startingPriceAmount": "number",
  "bidStepAmount": "number",
  "startsAt": "datetime",
  "endsAt": "datetime",
  "reservationId": "string",
  "createdAt": "datetime"
 }</t>
  </si>
  <si>
    <t>- Dedupe inbox (message_id, consumer)
 - referenceId tồn tại</t>
  </si>
  <si>
    <t>OrderCancelled (reason RESERVATION_EXPIRED, actor SYSTEM) — chỉ khi huỷ do reservation hết hạn</t>
  </si>
  <si>
    <t>• startingPriceAmount ≥ 0
 • bidStepAmount &gt; 0
 • startsAt không ở quá khứ
 • startsAt không quá 30 ngày kể từ hiện tại (SCHEDULE_MAX_DAYS)
 • endsAt sau startsAt, thời lượng phiên tối thiểu 1 giờ
 • Seller được duyệt gian hàng và điểm uy tín ≥ minReputationToSell (mặc định 50)
 • Sản phẩm tồn tại, đang ACTIVE, đúng chủ, skuId thuộc sản phẩm
 • Sản phẩm chưa có phiên đang mở (khóa chính product_open_auctions)
 • Giữ kho thành công</t>
  </si>
  <si>
    <t>User service (gRPC)
 CheckReputation
 Request
 {
  "action": "SELL",
  "userIds": [
  "UUID"
  ]
 }
 Response
 {
  "results": [
  {
  "userId": "UUID",
  "allowed": "boolean",
  "reason": "string | null",
  "reputationScore": "int",
  "trustLevel": "string"
  }
  ]
 }
 Catalog (gRPC)
 ValidateProduct
 Request
 {
  "productId": "UUID",
  "skuId": "UUID",
  "sellerId": "UUID"
 }
 Response
 {
  "valid": "boolean",
  "reason": "string | null",
  "name": "string"
 }
 Fulfillment (gRPC)
 ReserveInventory
 Request
 {
  "referenceType": "AUCTION",
  "referenceId": "UUID (auctionId)",
  "skuId": "UUID",
  "quantity": 1
 }
 Response
 {
  "reservationId": "string"
 }</t>
  </si>
  <si>
    <t>1 local TX: INSERT inbox → InventoryReleased: UPDATE order_cancellations.inventory_released=true (theo orderId, idempotent). InventoryReservationExpired: nếu group còn PENDING_PAYMENT (và Payment xác nhận không có giao dịch đang xử lý) → TX compensate như CHK-06 (CAS CANCELLED, release voucher, history actor SYSTEM, outbox); nếu group PAYMENT_PROCESSING hoặc đã PAID → bỏ qua + log/alert.</t>
  </si>
  <si>
    <t>• Phát: AuctionCreated
 • Phát: AuctionScheduled
 • Phát: AuditLogRequested</t>
  </si>
  <si>
    <t>Event cho reference không tồn tại → retry vài lần rồi DLQ.</t>
  </si>
  <si>
    <t>CAT-34</t>
  </si>
  <si>
    <t>Phát event lên message broker</t>
  </si>
  <si>
    <t>• Bước 1, một transaction: INSERT auctions (chép luật từ auction_configs đang active), INSERT auction_states (DRAFT, scheduled_end_at = original_end_at), INSERT product_open_auctions, INSERT auction_status_history, INSERT outbox_messages
 • Bước 2, ngoài transaction: gọi Fulfillment ReserveInventory
 • Bước 3: giữ kho thành công thì TransitionStatus DRAFT → SCHEDULED. Thất bại thì TransitionStatus DRAFT → FAILED (xóa khóa sản phẩm)</t>
  </si>
  <si>
    <t>Lưới an toàn cho CHK-06 (reservation TTL = deadline + 2'). Commerce vẫn là bên quyết định huỷ; không huỷ nếu có thanh toán đang xử lý. Idempotent (at-least-once).</t>
  </si>
  <si>
    <t>• Seller
 • Quyền AUCTION.CREATE</t>
  </si>
  <si>
    <t>Job đọc các event chờ gửi và gửi lên message broker.</t>
  </si>
  <si>
    <t>• 400 VALIDATION_ERROR
 • 403 SELLER_NOT_ELIGIBLE (uy tín &lt; 50 hoặc chưa duyệt gian hàng)
 • 409 PRODUCT_ALREADY_IN_AUCTION
 • 409 INVENTORY_UNAVAILABLE (giữ kho thất bại)
 • 422 PRODUCT_NOT_ELIGIBLE
 • 422 INVALID_SCHEDULE (quá 30 ngày hoặc thời lượng dưới 1 giờ)
 • 503 USER_SERVICE_UNAVAILABLE
 • 401 UNAUTHORIZED</t>
  </si>
  <si>
    <t>Scheduled job</t>
  </si>
  <si>
    <t>Không có request (job chạy định kỳ, đọc event chờ gửi)</t>
  </si>
  <si>
    <t>• Một phiên bán đúng một món, một sản phẩm chỉ có một phiên mở
 • Chép minReputationToBid, minReputationToSell, antiSnipingExtensionMinutes, maxExtensionCount vào phiên, không đổi sau khi tạo
 • Phiên tạo xong ở SCHEDULED khi giữ kho thành công
 • Đặt lịch trước tối đa 30 ngày, thời lượng tối thiểu 1 giờ</t>
  </si>
  <si>
    <t>USER-08</t>
  </si>
  <si>
    <t>AUC-11</t>
  </si>
  <si>
    <t>Event được gửi lên message broker; cập nhật trạng thái đã gửi</t>
  </si>
  <si>
    <t>UpdateAuction</t>
  </si>
  <si>
    <t>ADMIN-12 (lấy cấu hình ngưỡng uy tín)</t>
  </si>
  <si>
    <t>Chỉ gửi event đang ở trạng thái chờ gửi</t>
  </si>
  <si>
    <t>PATCH /api/v1/auctions/{auctionId}
 Seller chỉnh giá khởi điểm, bước giá, thời gian trước giờ bắt đầu.</t>
  </si>
  <si>
    <t>Message broker (RabbitMQ hoặc Kafka): gửi event</t>
  </si>
  <si>
    <t>Path
 {
  "auctionId": "UUID"
 }
 Body (gửi ít nhất một field)
 {
  "startingPriceAmount": "number (optional)",
  "bidStepAmount": "number (optional)",
  "startsAt": "datetime (optional)",
  "endsAt": "datetime (optional)"
 }</t>
  </si>
  <si>
    <t>ProductCreated; ProductUpdated; ProductDeleted; ProductStatusChanged; CategoryCreated; CategoryUpdated; CategoryDeleted</t>
  </si>
  <si>
    <t>Event được ghi cùng transaction với dữ liệu nghiệp vụ (outbox); job chỉ đọc và gửi</t>
  </si>
  <si>
    <t>Broker lỗi thì thử lại; quá số lần thử thì đánh dấu FAILED và ghi log</t>
  </si>
  <si>
    <t>200 OK
 {
  "auctionId": "UUID",
  "sellerId": "UUID",
  "product": {
  "productId": "UUID",
  "skuId": "UUID",
  "name": "string"
  },
  "pricing": {
  "startingPriceAmount": "number",
  "bidStepAmount": "number",
  "currentPriceAmount": "number | null",
  "minNextBidAmount": "number"
  },
  "timing": {
  "startsAt": "datetime",
  "endsAt": "datetime",
  "originalEndsAt": "datetime",
  "startedAt": "datetime | null",
  "endedAt": "datetime | null",
  "extensionCount": "int",
  "maxExtensionCount": "int",
  "antiSnipingExtensionMinutes": "int"
  },
  "stats": {
  "bidCount": "int",
  "currentLeadingBidderMasked": "string | null",
  "isLeading": "boolean"
  },
  "rules": {
  "minReputationToBid": "int",
  "minReputationToSell": "int"
  },
  "status": "DRAFT | SCHEDULED | RUNNING | ENDED | SETTLED | FAILED | CANCELLED",
  "statusReason": "string | null",
  "recreatedFromAuctionId": "UUID | null",
  "result": {
  "hasWinner": "boolean",
  "finalPriceAmount": "number | null",
  "determinedAt": "datetime"
  },
  "rowVersion": "long",
  "createdAt": "datetime",
  "updatedAt": "datetime",
  "serverTime": "datetime"
 }
 Ghi chú
 Trả về chi tiết phiên đã cập nhật</t>
  </si>
  <si>
    <t>AO-01</t>
  </si>
  <si>
    <t>• auctionId đúng định dạng UUID
 • Có ít nhất một field
 • startingPriceAmount ≥ 0
 • bidStepAmount &gt; 0
 • startsAt không ở quá khứ
 • startsAt không quá 30 ngày kể từ hiện tại (SCHEDULE_MAX_DAYS)
 • endsAt sau startsAt, thời lượng phiên tối thiểu 1 giờ
 • Phiên tồn tại
 • Người gọi là seller của phiên
 • status là DRAFT hoặc SCHEDULED</t>
  </si>
  <si>
    <t>Create auction order from settlement / Tạo đơn đấu giá</t>
  </si>
  <si>
    <t>SRS 3.2.2.1: khi broker lỗi các thao tác phụ thuộc broker tạm dừng, các chức năng khác vẫn chạy; thứ tự event theo thời điểm phát sinh; bảng outbox chưa có trong DB tổng, nhóm cần quyết định</t>
  </si>
  <si>
    <t>/api/v1/me/penalties</t>
  </si>
  <si>
    <t>Consumer AuctionSettled (thắng) → tạo auction_orders (SRS 3.5.3.4: Auction không tự tạo order).
 (EN: create order from auction result)</t>
  </si>
  <si>
    <t>xem thông tin phạt của bản thân</t>
  </si>
  <si>
    <t>• Một transaction:
 • UPDATE auctions
 • UPDATE auction_states.scheduled_end_at (chưa có bid nên đặt theo endsAt mới)</t>
  </si>
  <si>
    <t>Event consumer – auction.AuctionSettled (bỏ qua AuctionFailed/Cancelled)</t>
  </si>
  <si>
    <t>• Seller (đúng chủ phiên)
 • Quyền AUCTION.UPDATE</t>
  </si>
  <si>
    <t>Headers: { "Authorization": "Bearer JWT" }
Query:
{
  "page": "int (default: 1)",
  "limit": "int (default: 20)"
}</t>
  </si>
  <si>
    <t>{eventId, auctionId, winningBidId, productId, skuId, productName, winningAmount, buyerId, sellerId, settledAt}</t>
  </si>
  <si>
    <t>• 400 VALIDATION_ERROR
 • 404 AUCTION_NOT_FOUND
 • 409 AUCTION_NOT_EDITABLE (phiên đã bắt đầu)
 • 422 INVALID_SCHEDULE
 • 401 UNAUTHORIZED
 • 403 FORBIDDEN</t>
  </si>
  <si>
    <t>• Chỉ sửa được khi phiên ở DRAFT hoặc SCHEDULED
 • Phiên đã RUNNING thì khóa cứng toàn bộ cấu hình
 • Không sửa được productId, skuId và các luật đã chép từ config</t>
  </si>
  <si>
    <t>AUC-12</t>
  </si>
  <si>
    <t>{
  "msg": "Lấy lịch sử vi phạm thành công",
  "data": {
    "items": [
      {
        "id": "uuid",
        "violationType": "string",
        "reason": "string",
        "penaltyApplied": "string",
        "pointsDeducted": "int",
        "status": "string",
        "issuedAt": "timestamp",
        "expiresAt": "timestamp"
      }
    ],
    "pagination": {
      "total": "int",
      "page": "int",
      "limit": "int"
    }
  }
}</t>
  </si>
  <si>
    <t>- Dedupe inbox + UNIQUE(auction_id)
 - winningAmount &gt; 0; buyerId ≠ sellerId
 - Settlement hợp lệ (có winner)</t>
  </si>
  <si>
    <t>CancelAuction</t>
  </si>
  <si>
    <t>CAT-35</t>
  </si>
  <si>
    <t>User Service: kiểm tra buyer/seller (optional).</t>
  </si>
  <si>
    <t>Thử lại event nhận lỗi</t>
  </si>
  <si>
    <t>POST /api/v1/auctions/{auctionId}/cancel
 Seller chủ động hủy phiên khi chưa có lượt đặt giá nào.</t>
  </si>
  <si>
    <t>AuctionOrderCreated (NEW) → Notification báo winner</t>
  </si>
  <si>
    <t>Path
 {
  "auctionId": "UUID"
 }
 Body
 {
  "reason": "string"
 }</t>
  </si>
  <si>
    <t>Job xử lý lại các event nhận vào bị lỗi trước đó.</t>
  </si>
  <si>
    <t>200 OK
 {
  "auctionId": "UUID",
  "status": "CANCELLED",
  "reason": "string",
  "cancelledAt": "datetime"
 }</t>
  </si>
  <si>
    <t>1 local TX: INSERT inbox → sinh order_no AOR-… → INSERT auction_orders(status=PENDING_PAYMENT, payment_deadline_at=settledAt+AUCTION_PAYMENT_DEADLINE_HOURS(24), platform_fee_amount, seller_receive_amount, shipping_fee_amount=NULL, total_amount=NULL) → history → outbox.</t>
  </si>
  <si>
    <t>• auctionId đúng định dạng UUID
 • reason không rỗng
 • Phiên tồn tại
 • Người gọi là seller của phiên
 • status là DRAFT, SCHEDULED hoặc RUNNING
 • bid_count = 0
 • UPDATE có điều kiện status và row_version</t>
  </si>
  <si>
    <t>AUCTION_ALREADY_HAS_ORDER → bỏ qua (idempotent); lỗi khác retry/DLQ.</t>
  </si>
  <si>
    <t>Không có request (job chạy định kỳ, đọc các event nhận vào đang lỗi)</t>
  </si>
  <si>
    <t>• Phát: AuctionCancelled
 • Phát: AuditLogRequested
 • Đẩy hub sau commit: AuctionStatusChanged</t>
  </si>
  <si>
    <t>Cập nhật trạng thái xử lý của từng event</t>
  </si>
  <si>
    <t>• Một transaction:
 • TransitionStatus → CANCELLED (reason, changed_by = seller)
 • DELETE product_open_auctions
 • INSERT outbox_messages</t>
  </si>
  <si>
    <t>Phí sàn auction trừ vào seller: platform_fee = winningAmount × AUCTION_PLATFORM_FEE_PERCENT (key mới, system_settings/MONEY); seller_receive = winningAmount − platform_fee. total = winning + ship. Tồn kho đã được Fulfillment giữ khi tạo auction (SRS 3.6.1.15). Snapshot ảnh/thuộc tính: thêm auction_orders.image_url_snapshot, sku_attributes_snapshot (gap #19), lấy từ Catalog lúc tạo order.</t>
  </si>
  <si>
    <t>• Seller (đúng chủ phiên)
 • Quyền AUCTION.CANCEL</t>
  </si>
  <si>
    <t>Số lần thử lại chưa vượt giới hạn (ví dụ 3 lần)</t>
  </si>
  <si>
    <t>AO-02</t>
  </si>
  <si>
    <t>• 400 VALIDATION_ERROR
 • 404 AUCTION_NOT_FOUND
 • 409 AUCTION_HAS_BIDS (đã có người đặt giá)
 • 409 CONCURRENT_UPDATE
 • 422 INVALID_STATE_TRANSITION
 • 401 UNAUTHORIZED
 • 403 FORBIDDEN</t>
  </si>
  <si>
    <t>Submit shipping info &amp; get quote / Nhập địa chỉ và báo giá ship</t>
  </si>
  <si>
    <t>• Seller chỉ hủy được khi bid_count = 0, đã có bid thì chỉ Admin hủy được (force-cancel)
 • Hủy xong chuyển CANCELLED, mở khóa sản phẩm</t>
  </si>
  <si>
    <t>Có: mỗi event xử lý trong 1 transaction riêng</t>
  </si>
  <si>
    <t>Winner nhập địa chỉ, hệ thống tính ship và total_amount. (EN: winner sets address, shipping quote)</t>
  </si>
  <si>
    <t>AUC-13</t>
  </si>
  <si>
    <t>API – PUT /api/v1/auction-orders/{auctionOrderId}/shipping</t>
  </si>
  <si>
    <t>RecreateAuction</t>
  </si>
  <si>
    <t>POST /api/v1/auctions/{auctionId}/recreate
 Tạo phiên mới cho sản phẩm của phiên đã thất bại.</t>
  </si>
  <si>
    <t>Quá giới hạn thử lại thì giữ trạng thái FAILED chờ xử lý tay</t>
  </si>
  <si>
    <t>Body: {shippingAddress:{receiverName, street, ward, district, province, ghnDistrictId, ghnWardCode}, contactPhone, carrierCode?, serviceType?}</t>
  </si>
  <si>
    <t>200 {shippingFeeAmount, totalAmount, estimatedDelivery, options[]}</t>
  </si>
  <si>
    <t>Path
 {
  "auctionId": "UUID (phiên cũ)"
 }
 Body
 {
  "startingPriceAmount": "number",
  "bidStepAmount": "number",
  "startsAt": "datetime",
  "endsAt": "datetime"
 }</t>
  </si>
  <si>
    <t>Không để một event lỗi chặn các event khác; phụ thuộc vào cơ chế inbox mà nhóm chốt</t>
  </si>
  <si>
    <t>- buyer_id = sub; status = PENDING_PAYMENT; now &lt; payment_deadline_at
 - Địa chỉ/phone hợp lệ
 - Có thể gửi lại nhiều lần tới khi thanh toán</t>
  </si>
  <si>
    <t>201 Created
 {
  "newAuctionId": "UUID",
  "status": "SCHEDULED",
  "recreatedFromAuctionId": "UUID",
  "reservationId": "string",
  "startingPriceAmount": "number",
  "bidStepAmount": "number",
  "startsAt": "datetime",
  "endsAt": "datetime",
  "createdAt": "datetime"
 }</t>
  </si>
  <si>
    <t>Fulfillment: shipping quote (SHIPPING.QUOTE; timeout 3000ms, retry ≤3).</t>
  </si>
  <si>
    <t>ShippingQuoteRequested (Fulfillment phát)</t>
  </si>
  <si>
    <t>• auctionId đúng định dạng UUID
 • startingPriceAmount ≥ 0
 • bidStepAmount &gt; 0
 • startsAt không ở quá khứ
 • startsAt không quá 30 ngày kể từ hiện tại (SCHEDULE_MAX_DAYS)
 • endsAt sau startsAt, thời lượng phiên tối thiểu 1 giờ
 • Phiên cũ tồn tại, thuộc seller đang gọi, status = FAILED
 • Seller đủ điều kiện (điểm uy tín ≥ 50)
 • Sản phẩm còn hợp lệ và chưa có phiên đang mở
 • Giữ kho thành công</t>
  </si>
  <si>
    <t>1 local TX: UPDATE shipping_address, contact_phone, shipping_fee_amount, total_amount=winning_amount+shipping_fee WHERE status='PENDING_PAYMENT' AND row_version=?.</t>
  </si>
  <si>
    <t>AUCTION.VIEW + ORDER.UPDATE (NEW) / Buyer (winner)</t>
  </si>
  <si>
    <t>USER-09</t>
  </si>
  <si>
    <t>404; 409 ORDER_STATE_CONFLICT; 410 PAYMENT_DEADLINE_PASSED; 503 SHIPPING_QUOTE_UNAVAILABLE
 + Lỗi chung: 401/403/429/500 (xem sheet Error Codes)</t>
  </si>
  <si>
    <t>REP-02 (ghi phạt bùng kèo đấu giá)</t>
  </si>
  <si>
    <t>Sau PAID không đổi địa chỉ. Free ship nếu ≥ FREE_SHIPPING_THRESHOLD (cần chốt đơn vị tiền – gap #13).</t>
  </si>
  <si>
    <t>• Giống CreateAuction (tạo bản ghi mới ở DRAFT, giữ kho, chuyển SCHEDULED)
 • productId, skuId lấy từ phiên cũ
 • recreated_from_auction_id = phiên cũ</t>
  </si>
  <si>
    <t>REP-03 (ghi phạt seller hủy đơn)</t>
  </si>
  <si>
    <t>• Seller (đúng chủ phiên cũ)
 • Quyền AUCTION.CREATE</t>
  </si>
  <si>
    <t>CAT-36</t>
  </si>
  <si>
    <t>REP-05 (nơi ghi user_penalties)</t>
  </si>
  <si>
    <t>AO-03</t>
  </si>
  <si>
    <t>• 400 VALIDATION_ERROR
 • 403 SELLER_NOT_ELIGIBLE
 • 404 AUCTION_NOT_FOUND
 • 409 PRODUCT_ALREADY_IN_AUCTION
 • 409 INVENTORY_UNAVAILABLE
 • 422 INVALID_RECREATE_SOURCE
 • 422 INVALID_SCHEDULE
 • 401 UNAUTHORIZED
 • 403 FORBIDDEN</t>
  </si>
  <si>
    <t>Kiểm tra sức khỏe dịch vụ (health check)</t>
  </si>
  <si>
    <t>Pay auction order / Thanh toán đơn đấu giá</t>
  </si>
  <si>
    <t>Cho hạ tầng và giám sát kiểm tra Catalog còn hoạt động và kết nối được DB, message broker.</t>
  </si>
  <si>
    <t>Gửi yêu cầu thanh toán sang Payment Service. (EN: pay auction order)</t>
  </si>
  <si>
    <t>• Tạo bản ghi phiên hoàn toàn mới, không ghi đè hay sửa phiên cũ
 • recreated_from_auction_id trỏ về phiên cũ làm bằng chứng lịch sử
 • Chỉ phiên FAILED (không ai đặt giá hoặc người thắng quá hạn thanh toán) mới được tạo lại</t>
  </si>
  <si>
    <t>API – POST /api/v1/auction-orders/{auctionOrderId}/pay</t>
  </si>
  <si>
    <t>GET /health</t>
  </si>
  <si>
    <t>AUC-14</t>
  </si>
  <si>
    <t>200 OK hoặc 503 | Status (Healthy hoặc Unhealthy); Database; MessageBroker</t>
  </si>
  <si>
    <t>GetMyAuctions</t>
  </si>
  <si>
    <t>Như CHK-03</t>
  </si>
  <si>
    <t>Không có tham số</t>
  </si>
  <si>
    <t>GET /api/v1/seller/auctions
 Các phiên của seller hiện tại, kể cả DRAFT.</t>
  </si>
  <si>
    <t>Database và message broker: kiểm tra kết nối</t>
  </si>
  <si>
    <t>- buyer_id = sub; status = PENDING_PAYMENT; now &lt; payment_deadline_at
 - shipping_fee_amount và total_amount KHÔNG NULL (đã làm AO-02) → thiếu 409 SHIPPING_INFO_REQUIRED</t>
  </si>
  <si>
    <t>Payment: POST /internal/v1/payments {referenceType:'AUCTION_ORDER', referenceId, amount=total_amount, …}</t>
  </si>
  <si>
    <t>— (kết quả qua PAY-01 → OrderPaid)</t>
  </si>
  <si>
    <t>Như CHK-03 (TX ngắn + gọi Payment ngoài TX + đối soát).</t>
  </si>
  <si>
    <t>Hạ tầng và giám sát (SYSTEM.HEALTH.VIEW cho Admin, Support Staff)</t>
  </si>
  <si>
    <t>CHECKOUT.PAY (NEW) / Buyer (winner)</t>
  </si>
  <si>
    <t>200 OK
 {
  "items": [
  {
  "auctionId": "UUID",
  "productId": "UUID",
  "skuId": "UUID",
  "sellerId": "UUID",
  "productName": "string",
  "startingPriceAmount": "number",
  "currentPriceAmount": "number | null",
  "bidStepAmount": "number",
  "bidCount": "int",
  "startsAt": "datetime",
  "endsAt": "datetime",
  "status": "DRAFT | SCHEDULED | RUNNING | ENDED | SETTLED | FAILED | CANCELLED",
  "createdAt": "datetime",
  "statusReason": "string | null"
  }
  ],
  "total": "int",
  "page": "int",
  "pageSize": "int"
 }</t>
  </si>
  <si>
    <t>503 UNHEALTHY</t>
  </si>
  <si>
    <t>409 SHIPPING_INFO_REQUIRED; 409 ORDER_STATE_CONFLICT; 410 PAYMENT_DEADLINE_PASSED; 402 INSUFFICIENT_WALLET_BALANCE; 502/504
 + Lỗi chung: 401/403/429/500 (xem sheet Error Codes)</t>
  </si>
  <si>
    <t>/api/v1/user/{userId}</t>
  </si>
  <si>
    <t>Sau PAID: chờ seller accept (ORD-04) như order thường; Fulfillment commit tồn kho theo SRS 3.6.1.16 (xem gap #11).</t>
  </si>
  <si>
    <t>Phục vụ giám sát (SRS 5.5) và triển khai không downtime (SRS 5.7); không trả thông tin nhạy cảm như chuỗi kết nối</t>
  </si>
  <si>
    <t>Xem chi tiết hồ sơ cá nhân của 1 user cụ thể</t>
  </si>
  <si>
    <t>Path:
{
  "userId": "uuid"
}</t>
  </si>
  <si>
    <t>Chỉ đọc: auctions (index seller_id, created_at), auction_states</t>
  </si>
  <si>
    <t>• Seller
 • Đã đăng nhập</t>
  </si>
  <si>
    <t>• 400 VALIDATION_ERROR
 • 401 UNAUTHORIZED
 • 403 FORBIDDEN</t>
  </si>
  <si>
    <t>AO-04</t>
  </si>
  <si>
    <t>{
  "msg": "Lấy thông tin hồ sơ công khai thành công",
  "data": {
    "id": "uuid",
    "username": "string | null",
    "firstName": "string",
    "lastName": "string",
    "avatarUrl": "string",
    "reputationScore": "int",
    "trustLevel": "string",
    "badges": "string[]",
    "isSeller": "boolean",
    "joinedAt": "timestamp"
  }
}</t>
  </si>
  <si>
    <t>• Chỉ trả phiên của chính seller
 • statusReason có khi FAILED hoặc CANCELLED</t>
  </si>
  <si>
    <t>AUC-15</t>
  </si>
  <si>
    <t>AdminCancelAuction</t>
  </si>
  <si>
    <t>CAT-37</t>
  </si>
  <si>
    <t>Ghi audit log</t>
  </si>
  <si>
    <t>POST /api/v1/auctions/{auctionId}/force-cancel
 Admin hủy cưỡng bức phiên vi phạm, kể cả khi đã có bid.</t>
  </si>
  <si>
    <t>Tự động ghi lại mọi thay đổi dữ liệu của Catalog vào bảng AuditLogs.</t>
  </si>
  <si>
    <t>Tự động (đi kèm các thao tác ghi)</t>
  </si>
  <si>
    <t>Auction payment timeout job / Job quá hạn thanh toán đơn đấu giá</t>
  </si>
  <si>
    <t>Không có request (kích hoạt khi tạo, sửa, xóa dữ liệu)</t>
  </si>
  <si>
    <t>• auctionId đúng định dạng UUID
 • reason không rỗng
 • Phiên tồn tại
 • status là DRAFT, SCHEDULED hoặc RUNNING
 • UPDATE có điều kiện status và row_version</t>
  </si>
  <si>
    <t>• Phát: AuctionCancelled
 • Phát: AuditLogRequested (bắt buộc)
 • Đẩy hub sau commit: AuctionStatusChanged</t>
  </si>
  <si>
    <t>Có: ghi cùng transaction với thay đổi dữ liệu</t>
  </si>
  <si>
    <t>• Một transaction:
 • TransitionStatus → CANCELLED (reason, changed_by = Admin)
 • DELETE product_open_auctions
 • INSERT outbox_messages</t>
  </si>
  <si>
    <t>• Admin
 • Quyền AUCTION.ADMIN_CANCEL
 • Support Staff không có quyền này</t>
  </si>
  <si>
    <t>Hệ thống; xem log qua AUDIT_LOG.VIEW (Admin)</t>
  </si>
  <si>
    <t>• 400 VALIDATION_ERROR
 • 404 AUCTION_NOT_FOUND
 • 409 CONCURRENT_UPDATE
 • 422 INVALID_STATE_TRANSITION
 • 401 UNAUTHORIZED
 • 403 FORBIDDEN</t>
  </si>
  <si>
    <t>Lỗi ghi audit thì hủy cả thao tác (không cho thay đổi mà thiếu dấu vết)</t>
  </si>
  <si>
    <t>Huỷ đơn đấu giá winner không trả trong 24h và báo phạt. (EN: auction payment timeout)</t>
  </si>
  <si>
    <t>• Khóa phiên ngay, chặn mọi bid tiếp theo
 • Payload AuctionCancelled kèm bidderIds để báo cho tất cả người đã đặt giá
 • Từ ENDED trở đi không hủy được</t>
  </si>
  <si>
    <t>SRS 5.8: audit log bất biến, không được sửa; lưu giá trị cũ, giá trị mới và người thực hiện; dòng mới có IsSynced = false</t>
  </si>
  <si>
    <t>AUC-16</t>
  </si>
  <si>
    <t>GetConfigs</t>
  </si>
  <si>
    <t>GET /api/v1/admin/auction-configs
 Xem các luật đang hiệu lực.</t>
  </si>
  <si>
    <t>200 OK
 {
  "items": [
  {
  "configKey": "string",
  "configValue": "json",
  "description": "string | null",
  "version": "int",
  "isActive": "boolean",
  "updatedBy": "UUID | null",
  "createdAt": "datetime",
  "updatedAt": "datetime"
  }
  ]
 }</t>
  </si>
  <si>
    <t>• JWT hợp lệ</t>
  </si>
  <si>
    <t>USER-07</t>
  </si>
  <si>
    <t>Chỉ đọc: auction_configs (is_active = true)</t>
  </si>
  <si>
    <t>• Admin</t>
  </si>
  <si>
    <t>• 401 UNAUTHORIZED
 • 403 FORBIDDEN</t>
  </si>
  <si>
    <t>• Mỗi key chỉ có một dòng đang hiệu lực
 • configValue là số, chuỗi hoặc đối tượng tùy từng key</t>
  </si>
  <si>
    <t>AUC-17</t>
  </si>
  <si>
    <t>UpsertConfig</t>
  </si>
  <si>
    <t>PUT /api/v1/admin/auction-configs/{key}
 Đổi một luật bằng cách thêm phiên bản mới.</t>
  </si>
  <si>
    <t>Path
 {
  "key": "string"
 }
 Body
 {
  "configValue": "json",
  "description": "string (optional)"
 }</t>
  </si>
  <si>
    <t>200 OK
 {
  "configKey": "string",
  "configValue": "json",
  "description": "string | null",
  "version": "int",
  "isActive": "boolean",
  "updatedBy": "UUID | null",
  "createdAt": "datetime",
  "updatedAt": "datetime"
 }</t>
  </si>
  <si>
    <t>• key đã tồn tại
 • configValue đúng kiểu và giá trị hợp lệ theo từng key (số nguyên ≥ 0, bước giá &gt; 0...)</t>
  </si>
  <si>
    <t>- status=PENDING_PAYMENT AND payment_deadline_at &lt; now()
 - Hỏi Payment trước khi huỷ (tránh race)</t>
  </si>
  <si>
    <t>Payment: GET trạng thái. Auction/User/Fulfillment xử lý hậu quả qua event.</t>
  </si>
  <si>
    <t>• Một transaction:
 • UPDATE dòng active hiện tại → is_active = false
 • INSERT dòng mới (version + 1, is_active = true, updated_by = Admin)
 • Unique index đảm bảo mỗi key chỉ một dòng active</t>
  </si>
  <si>
    <t>/api/v1/user/{userId}/avatar</t>
  </si>
  <si>
    <t>• 400 VALIDATION_ERROR
 • 404 key không tồn tại
 • 409 CONFLICT
 • 401 UNAUTHORIZED
 • 403 FORBIDDEN</t>
  </si>
  <si>
    <t>AuctionOrderPaymentExpired (NEW; tương ứng AuctionPaymentTimeout của SRS), OrderCancelled (reason PAYMENT_TIMEOUT, actor SYSTEM)</t>
  </si>
  <si>
    <t>Xem ảnh avatar của từng user</t>
  </si>
  <si>
    <t>Batch + SKIP LOCKED: CAS CANCELLED + order_cancellations(was_paid=false) + history + outbox.</t>
  </si>
  <si>
    <t>• Không sửa dòng cũ, chỉ thêm phiên bản mới để giữ lịch sử
 • Chỉ ảnh hưởng phiên tạo sau, phiên đang chạy dùng giá trị đã chép
 • Riêng hạn thanh toán (AUCTION.PAYMENT_DEADLINE_HOURS) được đọc lúc chốt phiên</t>
  </si>
  <si>
    <t>AUC-18</t>
  </si>
  <si>
    <t>GetStatusHistory</t>
  </si>
  <si>
    <t>Payment không phản hồi → bỏ qua vòng này.</t>
  </si>
  <si>
    <t>GET /api/v1/auctions/{auctionId}/status-history
 Nhật ký đổi trạng thái của phiên.</t>
  </si>
  <si>
    <t>200 OK
 {
  "items": [
  {
  "id": "UUID",
  "auctionId": "UUID",
  "fromStatus": "DRAFT | SCHEDULED | RUNNING | ENDED | SETTLED | FAILED | CANCELLED | null",
  "toStatus": "DRAFT | SCHEDULED | RUNNING | ENDED | SETTLED | FAILED | CANCELLED",
  "reason": "string | null",
  "changedBy": "UUID | null",
  "changedAt": "datetime"
  }
  ],
  "total": "int",
  "page": "int",
  "pageSize": "int"
 }</t>
  </si>
  <si>
    <t>• auctionId đúng định dạng UUID
 • page ≥ 1, pageSize từ 1 đến 100
 • Phiên tồn tại</t>
  </si>
  <si>
    <t>Penalty = PAYMENT_TIMEOUT_PENALTY_SCORE (10) do User Service áp khi nhận event. SRS 3.5.3.5 giao Auction enforce deadline, nhưng deadline lưu ở Commerce → đề xuất Commerce phát event, Auction chỉ consume (gap #10).</t>
  </si>
  <si>
    <t>Chỉ đọc: auction_status_history</t>
  </si>
  <si>
    <t>• Admin, Staff (chỉ xem)</t>
  </si>
  <si>
    <t>• fromStatus là null ở lần tạo phiên
 • changedBy là null nghĩa là hệ thống tự đổi
 • Dùng làm bằng chứng khi hủy phiên</t>
  </si>
  <si>
    <t>AUC-19</t>
  </si>
  <si>
    <t>GetSagaState</t>
  </si>
  <si>
    <t>GET /api/v1/admin/auctions/{auctionId}/saga
 Xem phiên đang ở bước nào của luồng đơn hàng.</t>
  </si>
  <si>
    <t>200 OK
 {
  "auctionId": "UUID",
  "sagaType": "string",
  "currentState": "ORDER_REQUESTED | AWAITING_PAYMENT | COMPLETED | FAILED",
  "stateData": "object",
  "createdAt": "datetime",
  "updatedAt": "datetime"
 }</t>
  </si>
  <si>
    <t>• auctionId đúng định dạng UUID
 • Phiên có saga (có người thắng)</t>
  </si>
  <si>
    <t>Chỉ đọc: saga_state</t>
  </si>
  <si>
    <t>• Chỉ để kiểm tra, không có API sửa tay
 • Phiên không có người thắng thì không có saga</t>
  </si>
  <si>
    <t>AUC-20</t>
  </si>
  <si>
    <t>CheckPaymentDeadline</t>
  </si>
  <si>
    <t>gRPC Auction.CheckPaymentDeadline
 Commerce gọi khi người thắng nhập địa chỉ hoặc thanh toán, để kiểm tra còn trong hạn.</t>
  </si>
  <si>
    <t>API – Internal (gRPC)</t>
  </si>
  <si>
    <t>Request
 {
  "auctionId": "UUID"
 }</t>
  </si>
  <si>
    <t>USER-07B</t>
  </si>
  <si>
    <t>Response
 {
  "auctionId": "UUID",
  "status": "DRAFT | SCHEDULED | RUNNING | ENDED | SETTLED | FAILED | CANCELLED",
  "paymentDeadlineAt": "datetime | null",
  "isWithinDeadline": "boolean"
 }</t>
  </si>
  <si>
    <t>• auctionId đúng định dạng UUID
 • Phiên tồn tại
 • Gọi từ mạng nội bộ</t>
  </si>
  <si>
    <t>Chỉ đọc: auction_states, auction_settlements</t>
  </si>
  <si>
    <t>• Service Commerce (nội bộ)</t>
  </si>
  <si>
    <t>• NOT_FOUND</t>
  </si>
  <si>
    <t>CAT-38</t>
  </si>
  <si>
    <t>• isWithinDeadline = true khi phiên còn ENDED và giờ hiện tại ≤ paymentDeadlineAt
 • paymentDeadlineAt cố định từ lúc chốt phiên, không bị đổi</t>
  </si>
  <si>
    <t>AUC-21</t>
  </si>
  <si>
    <t>StartAuctionsJob</t>
  </si>
  <si>
    <t>Job: chuyển phiên SCHEDULED sang RUNNING khi tới giờ bắt đầu.</t>
  </si>
  <si>
    <t>Background job</t>
  </si>
  <si>
    <t>Không có request, chạy theo lịch
 Điều kiện quét
 status = SCHEDULED và scheduled_start_at ≤ giờ hiện tại</t>
  </si>
  <si>
    <t>• Chỉ chuyển khi status còn là SCHEDULED (UPDATE có điều kiện)</t>
  </si>
  <si>
    <t>• Phát: AuctionStarted
 • Đẩy hub sau commit: AuctionStatusChanged</t>
  </si>
  <si>
    <t>• Mỗi phiên một transaction qua TransitionStatus:
 • UPDATE auction_states (RUNNING, started_at)
 • INSERT auction_status_history
 • INSERT outbox_messages</t>
  </si>
  <si>
    <t>System, không có người dùng gọi</t>
  </si>
  <si>
    <t>Lỗi từng phiên được ghi log và thử lại ở lần quét sau</t>
  </si>
  <si>
    <t>/api/v1/seller/{sellerId}</t>
  </si>
  <si>
    <t>• Chạy hai lần hoặc hai instance cùng chạy cũng không xử lý một phiên hai lần
 • AuctionStarted để báo seller phiên đã mở nhận giá</t>
  </si>
  <si>
    <t>AUC-22</t>
  </si>
  <si>
    <t>User lấy thông tin cửa hàng của Seller</t>
  </si>
  <si>
    <t>EndAuctionsJob</t>
  </si>
  <si>
    <t>Đồng bộ audit log sang Log Service</t>
  </si>
  <si>
    <t>Job: tìm phiên RUNNING đã quá giờ kết thúc và gọi EndAuction.</t>
  </si>
  <si>
    <t>Path:
{
  "sellerId": "uuid"
}</t>
  </si>
  <si>
    <t>Không có request, chạy theo lịch
 Điều kiện quét
 status = RUNNING và scheduled_end_at ≤ giờ hiện tại (index status, scheduled_end_at)</t>
  </si>
  <si>
    <t>{
  "msg": "Lấy thông tin cửa hàng thành công",
  "data": {
    "sellerId": "uuid",
    "shopName": "string",
    "avatarUrl": "string",
    "ratingAvg": "decimal",
    "totalReviews": "int",
    "joinedAt": "timestamp"
  }
}</t>
  </si>
  <si>
    <t>• Kiểm tra lại scheduled_end_at vì phiên có thể vừa được gia hạn</t>
  </si>
  <si>
    <t>Gọi EndAuction</t>
  </si>
  <si>
    <t>Xem EndAuction</t>
  </si>
  <si>
    <t>Mỗi phiên một transaction nằm trong EndAuction</t>
  </si>
  <si>
    <t>• Bid đúng giờ do PlaceBid kiểm tra (giờ hiện tại &lt; endsAt), không phụ thuộc job chạy đúng phút nào</t>
  </si>
  <si>
    <t>AUC-23</t>
  </si>
  <si>
    <t>PaymentDeadlineJob</t>
  </si>
  <si>
    <t>Job: xử lý phiên quá hạn thanh toán.</t>
  </si>
  <si>
    <t>Job gửi các dòng audit chưa đồng bộ sang Log Service theo lô.</t>
  </si>
  <si>
    <t>Không có request, chạy theo lịch
 Điều kiện quét
 status = ENDED, saga_state = AWAITING_PAYMENT, payment_deadline_at &lt; giờ hiện tại</t>
  </si>
  <si>
    <t>• Chỉ xử lý khi phiên còn ENDED và saga còn AWAITING_PAYMENT (UPDATE có điều kiện)</t>
  </si>
  <si>
    <t>• Phát: AuctionPaymentTimedOut
 • Phát: AuctionFailed
 • Đẩy hub sau commit: AuctionStatusChanged</t>
  </si>
  <si>
    <t>• Mỗi phiên một transaction:
 • UPDATE saga_state → FAILED
 • TransitionStatus ENDED → FAILED (lý do quá hạn thanh toán)
 • DELETE product_open_auctions
 • INSERT outbox_messages</t>
  </si>
  <si>
    <t>• Hạn thanh toán lấy từ auction_settlements.payment_deadline_at (24 giờ kể từ lúc chốt phiên)
 • AuctionPaymentTimedOut để User service trừ điểm uy tín người thắng
 • AuctionFailed để Commerce hủy đơn đấu giá và Fulfillment nhả kho</t>
  </si>
  <si>
    <t>SELLER-08</t>
  </si>
  <si>
    <t>AUC-24</t>
  </si>
  <si>
    <t>OutboxPublisherJob</t>
  </si>
  <si>
    <t>CART-01 (hiển thị shop trong giỏ hàng)</t>
  </si>
  <si>
    <t>Job: gửi event trong outbox_messages lên message broker.</t>
  </si>
  <si>
    <t>ORD-01 (thông tin shop khi tạo đơn)</t>
  </si>
  <si>
    <t>Không có request (job chạy định kỳ, đọc các dòng AuditLogs có IsSynced = false)</t>
  </si>
  <si>
    <t>Không có request, chạy theo lịch
 Điều kiện quét
 status = PENDING (index status, created_at)</t>
  </si>
  <si>
    <t>• Chỉ lấy message PENDING hoặc FAILED chưa quá số lần thử</t>
  </si>
  <si>
    <t>Đánh dấu IsSynced = true sau khi Log Service xác nhận</t>
  </si>
  <si>
    <t>Gửi lên message broker (RabbitMQ)</t>
  </si>
  <si>
    <t>ORD-03 (thông tin shop trong chi tiết đơn)</t>
  </si>
  <si>
    <t>Phát: toàn bộ event nằm trong outbox</t>
  </si>
  <si>
    <t>Chỉ gửi dòng chưa đồng bộ; theo thứ tự thời gian</t>
  </si>
  <si>
    <t>• Mỗi message: gửi broker rồi UPDATE status, published_at hoặc retry_count, last_error</t>
  </si>
  <si>
    <t>ORD-11 (tên shop)</t>
  </si>
  <si>
    <t>Log Service: gửi lô audit log</t>
  </si>
  <si>
    <t>Gửi lỗi: tăng retry_count, ghi last_error, quá số lần thử thì DEAD</t>
  </si>
  <si>
    <t>• Không publish event thẳng lên broker, luôn đi qua outbox
 • Gửi ít nhất một lần, có thể trùng, bên nhận chống trùng bằng inbox</t>
  </si>
  <si>
    <t>AUC-25</t>
  </si>
  <si>
    <t>IdempotencyCleanupJob</t>
  </si>
  <si>
    <t>Mỗi lô: chỉ đánh dấu IsSynced = true sau khi Log Service xác nhận nhận thành công</t>
  </si>
  <si>
    <t>Job: dọn các Idempotency-Key đã hết hạn.</t>
  </si>
  <si>
    <t>Không có request, chạy theo lịch
 Điều kiện quét
 expires_at &lt; giờ hiện tại</t>
  </si>
  <si>
    <t>Lỗi mạng hoặc Log Service lỗi thì giữ IsSynced = false để gửi lại lần sau</t>
  </si>
  <si>
    <t>DELETE các dòng idempotency_keys hết hạn</t>
  </si>
  <si>
    <t>Lỗi được ghi log, thử lại ở lần sau</t>
  </si>
  <si>
    <t>• Key hết hạn không còn bảo vệ request trùng</t>
  </si>
  <si>
    <t>AUC-26</t>
  </si>
  <si>
    <t>EndAuction</t>
  </si>
  <si>
    <t>Hàm nội bộ: khóa phiên, chọn người thắng, ghi kết quả. EndAuctionsJob gọi.</t>
  </si>
  <si>
    <t>Không xóa dòng audit sau khi đồng bộ (log bất biến, SRS 5.8); gửi lại phải an toàn khi bị trùng</t>
  </si>
  <si>
    <t>Domain function</t>
  </si>
  <si>
    <t>/api/v1/user/{userId}/reputation</t>
  </si>
  <si>
    <t>Input
 {
  "auctionId": "UUID"
 }</t>
  </si>
  <si>
    <t>Không trả cho client</t>
  </si>
  <si>
    <t>Xem Thẻ Tóm tắt Hồ sơ Uy tín công khai</t>
  </si>
  <si>
    <t>• UPDATE RUNNING → ENDED có điều kiện, không ghi được dòng nào nghĩa là đã xử lý rồi thì bỏ qua
 • Có bid hợp lệ hay không (kết quả DetermineWinner)</t>
  </si>
  <si>
    <t>Qua DetermineWinner: hỏi User service người đặt giá có bị khóa không</t>
  </si>
  <si>
    <t>• Phát: AuctionEnded
 • Có người thắng: AuctionOrderRequested (cho Commerce)
 • Không có bid hợp lệ: AuctionFailed
 • Đẩy hub sau commit: AuctionStatusChanged</t>
  </si>
  <si>
    <t>• Một transaction:
 • TransitionStatus RUNNING → ENDED
 • INSERT auction_results
 • Có người thắng: INSERT auction_settlements (payment_deadline_at), INSERT saga_state (ORDER_REQUESTED), cập nhật bid_history.is_winning
 • Không có bid hợp lệ: TransitionStatus ENDED → FAILED, DELETE product_open_auctions
 • INSERT outbox_messages
 • Idempotency scope SETTLEMENT nếu cần</t>
  </si>
  <si>
    <t>Không trả lỗi cho client, lỗi hệ thống thì rollback và thử lại</t>
  </si>
  <si>
    <t>• Không có bid hợp lệ: auction_results có winner null, phiên FAILED, không có saga
 • Có người thắng: giá cuối là amount của chính bid thắng, đơn đấu giá chờ thanh toán trong 24 giờ
 • Phiên ENDED vẫn giữ khóa sản phẩm cho tới SETTLED, FAILED hoặc CANCELLED</t>
  </si>
  <si>
    <t>AUC-27</t>
  </si>
  <si>
    <t>{
  "msg": "Lấy tóm tắt uy tín thành công",
  "data": {
    "userId": "uuid",
    "reputationScore": "int",
    "trustLevel": "string",
    "badges": "string[]",
    "canBid": "boolean",
    "canSell": "boolean",
    "totalReviews": "int",
    "positiveRatio": "decimal"
  }
}</t>
  </si>
  <si>
    <t>DetermineWinner</t>
  </si>
  <si>
    <t>Hàm nội bộ: chọn bid thắng, loại bid của người bị khóa.</t>
  </si>
  <si>
    <t>CAT-39</t>
  </si>
  <si>
    <t>Output
 {
  "hasWinner": "boolean",
  "winningBidId": "UUID | null",
  "winnerId": "UUID | null",
  "finalPriceAmount": "number | null"
 }</t>
  </si>
  <si>
    <t>• Bỏ qua bid đã có trong bid_invalidations
 • Người đặt giá có bị khóa không (hỏi User service)</t>
  </si>
  <si>
    <t>/api/v1/orders</t>
  </si>
  <si>
    <t>User service (gRPC)
 CheckReputation
 Request
 {
  "action": "BID",
  "userIds": [
  "UUID"
  ]
 }
 Response
 {
  "results": [
  {
  "userId": "UUID",
  "allowed": "boolean",
  "reason": "string | null",
  "reputationScore": "int",
  "trustLevel": "string"
  }
  ]
 }</t>
  </si>
  <si>
    <t>tạo order</t>
  </si>
  <si>
    <t>• Nằm trong transaction của EndAuction:
 • Người bị khóa: INSERT bid_invalidations (BIDDER_BANNED) và UPDATE bid_history.is_invalidated = true</t>
  </si>
  <si>
    <t>POST /api/v1/orders
Headers: + Idempotency-Key: &lt;uuid&gt;
Body:    { }</t>
  </si>
  <si>
    <t>data: { }</t>
  </si>
  <si>
    <t>Kiểm tra trạng thái sản phẩm và variant (nội bộ)</t>
  </si>
  <si>
    <t>• Duyệt bid theo amount giảm dần, bid hợp lệ đầu tiên là bid thắng
 • Người thắng trả đúng giá bid của mình
 • Người dẫn đầu bị khóa thì người cao nhì thắng
 • Chỉ dựa trên bids và bid_invalidations, không dùng bid_history</t>
  </si>
  <si>
    <t>AUC-28</t>
  </si>
  <si>
    <t>ComputePaymentDeadline</t>
  </si>
  <si>
    <t>Hàm nội bộ: tính hạn thanh toán của người thắng.</t>
  </si>
  <si>
    <t>Input
 {
  "determinedAt": "datetime"
 }</t>
  </si>
  <si>
    <t>Output
 {
  "paymentDeadlineAt": "datetime"
 }</t>
  </si>
  <si>
    <t>Các service gửi danh sách variant và nhận về trạng thái của sản phẩm, trạng thái của variant và kết luận có bán được không, kèm lý do. Dùng cho Cart validation, checkout và Auction.</t>
  </si>
  <si>
    <t>• AUCTION.PAYMENT_DEADLINE_HOURS trong config là số dương</t>
  </si>
  <si>
    <t>FUL-06</t>
  </si>
  <si>
    <t>Đọc auction_configs (dòng active), kết quả ghi vào auction_settlements trong transaction của EndAuction</t>
  </si>
  <si>
    <t>• paymentDeadlineAt = determinedAt + số giờ trong config (mặc định 24 giờ)
 • Đây là chỗ duy nhất đọc auction_configs lúc chốt phiên</t>
  </si>
  <si>
    <t>AUC-29</t>
  </si>
  <si>
    <t>REVIEW-05</t>
  </si>
  <si>
    <t>TransitionStatus</t>
  </si>
  <si>
    <t>Hàm nội bộ dùng cho mọi lần đổi trạng thái phiên.</t>
  </si>
  <si>
    <t>Input
 {
  "auctionId": "UUID",
  "from": "DRAFT | SCHEDULED | RUNNING | ENDED | SETTLED | FAILED | CANCELLED",
  "to": "DRAFT | SCHEDULED | RUNNING | ENDED | SETTLED | FAILED | CANCELLED",
  "reason": "string | null",
  "changedBy": "UUID | null"
 }</t>
  </si>
  <si>
    <t>/api/v1/order/{orderId}</t>
  </si>
  <si>
    <t>lấy thôn tin chi tiết của order đó</t>
  </si>
  <si>
    <t>• Chuyển from → to nằm trong bảng chuyển hợp lệ
 • reason không rỗng khi to = CANCELLED
 • UPDATE có điều kiện status = from và row_version</t>
  </si>
  <si>
    <t>• Phát theo trạng thái đích:
 • SCHEDULED: AuctionScheduled
 • RUNNING: AuctionStarted
 • ENDED: AuctionEnded
 • SETTLED: AuctionSettled
 • FAILED: AuctionFailed
 • CANCELLED: AuctionCancelled
 • Đẩy hub sau commit: AuctionStatusChanged</t>
  </si>
  <si>
    <t>FUL-18</t>
  </si>
  <si>
    <t>• Một transaction:
 • UPDATE auction_states (status, row_version + 1)
 • INSERT auction_status_history
 • Nếu to là SETTLED, FAILED hoặc CANCELLED: DELETE product_open_auctions
 • INSERT outbox_messages
 • Sau khi commit (ngoài transaction): AuctionRealtimePublisher đẩy AuctionStatusChanged xuống hub</t>
  </si>
  <si>
    <t>• 422 INVALID_STATE_TRANSITION
 • 409 CONCURRENT_UPDATE</t>
  </si>
  <si>
    <t>POST /api/v1/internal/variants/check-status | Body: VariantIds[] (tối đa 100); Purpose (CART, CHECKOUT hoặc AUCTION)</t>
  </si>
  <si>
    <t>api/v1/subOrder/{subOrderId}</t>
  </si>
  <si>
    <t>• Chuyển hợp lệ: DRAFT → SCHEDULED hoặc FAILED; SCHEDULED → RUNNING; RUNNING → ENDED; ENDED → SETTLED hoặc FAILED; DRAFT, SCHEDULED, RUNNING → CANCELLED
 • Không có chuyển nào khác
 • Không đổi trạng thái bằng cách nào khác ngoài hàm này</t>
  </si>
  <si>
    <t>coi thong tin chi tiết của 1 sub order</t>
  </si>
  <si>
    <t>200 OK | Items[VariantId, ProductId, ProductStatus, ProductStatusReason, VariantStatus, VariantStatusReason, SaleType, IsPurchasable, Reason, Price, Currency]; NotFoundIds[]</t>
  </si>
  <si>
    <t>AUC-30</t>
  </si>
  <si>
    <t>OnOrderCreated</t>
  </si>
  <si>
    <t>Nhận: đơn đấu giá đã được tạo.</t>
  </si>
  <si>
    <t>Event handler (inbox)</t>
  </si>
  <si>
    <t>Event nhận
 {
  "messageId": "UUID",
  "eventType": "OrderCreated",
  "payload": {
  "auctionId": "UUID",
  "orderId": "UUID"
  }
 }</t>
  </si>
  <si>
    <t>Không trả (xử lý bất đồng bộ)</t>
  </si>
  <si>
    <t>• Ghi inbox_messages (message_id + consumer) trước, đã có thì bỏ qua
 • Phiên và saga tồn tại
 • Saga đang ở ORDER_REQUESTED, không thì bỏ qua</t>
  </si>
  <si>
    <t>• Nhận: OrderCreated</t>
  </si>
  <si>
    <t>• Một transaction:
 • INSERT inbox_messages
 • UPDATE auction_settlements.order_id
 • UPDATE saga_state → AWAITING_PAYMENT (row_version + 1)</t>
  </si>
  <si>
    <t>System, nhận event từ broker</t>
  </si>
  <si>
    <t>Lỗi xử lý: inbox đặt FAILED, tăng retry_count và thử lại</t>
  </si>
  <si>
    <t>• Phiên vẫn ở ENDED
 • Auction chỉ lưu orderId làm tham chiếu</t>
  </si>
  <si>
    <t>AUC-31</t>
  </si>
  <si>
    <t>OnOrderPaid</t>
  </si>
  <si>
    <t>Nhận: người thắng đã thanh toán trong hạn 24 giờ.</t>
  </si>
  <si>
    <t>Event nhận
 {
  "messageId": "UUID",
  "eventType": "OrderPaid",
  "payload": {
  "auctionId": "UUID",
  "orderId": "UUID",
  "paidAt": "datetime"
  }
 }</t>
  </si>
  <si>
    <t>/api/v1/orders/{orderId}/cancel</t>
  </si>
  <si>
    <t>• Ghi inbox_messages (message_id + consumer) trước, đã có thì bỏ qua
 • Saga đang ở AWAITING_PAYMENT, không thì bỏ qua
 • Phiên đang ENDED</t>
  </si>
  <si>
    <t>cancel cái order đó, chưa chuyển khoản, chưa thanh toán</t>
  </si>
  <si>
    <t>• Nhận: OrderPaid
 • Phát: AuctionSettled
 • Đẩy hub sau commit: AuctionStatusChanged</t>
  </si>
  <si>
    <t>VariantIds không rỗng và tối đa 100 ID, mỗi ID đúng định dạng UUID; Purpose thuộc CART, CHECKOUT, AUCTION; chỉ nhận lời gọi từ service nội bộ (token service-to-service); Purpose = CART hoặc CHECKOUT thì sản phẩm AUCTION trả IsPurchasable = false, Reason = AUCTION_ONLY (đề xuất); Price là null với sản phẩm AUCTION</t>
  </si>
  <si>
    <t>/api/v1/user/{userId}/reputation/history</t>
  </si>
  <si>
    <t xml:space="preserve">POST /api/v1/orders/{orderId}/cancel
Body: { }          </t>
  </si>
  <si>
    <t>• Một transaction:
 • INSERT inbox_messages
 • UPDATE auction_settlements.paid_at
 • UPDATE saga_state → COMPLETED
 • TransitionStatus ENDED → SETTLED
 • DELETE product_open_auctions
 • INSERT outbox_messages</t>
  </si>
  <si>
    <t>Xem lịch sử uy tín (tăng or giảm)</t>
  </si>
  <si>
    <t>• Phiên SETTLED ngay khi thanh toán xong
 • AuctionSettled để User cập nhật thống kê, Catalog mở khóa sản phẩm</t>
  </si>
  <si>
    <t>FUL-10</t>
  </si>
  <si>
    <t>AUC-32</t>
  </si>
  <si>
    <t>OnProductStatusChanged</t>
  </si>
  <si>
    <t>Nhận: sản phẩm bị ẩn hoặc xóa.</t>
  </si>
  <si>
    <t>Headers: { "Authorization": "Bearer JWT" }
Path: { "userId": "uuid" }
Query:
{
  "page": "int (default: 1)",
  "limit": "int (default: 20)"
}</t>
  </si>
  <si>
    <t>Event nhận
 {
  "messageId": "UUID",
  "eventType": "ProductStatusChanged | ProductDeleted",
  "payload": {
  "productId": "UUID",
  "status": "string"
  }
 }</t>
  </si>
  <si>
    <t>/api/v1/payments/webhook</t>
  </si>
  <si>
    <t>Service nội bộ (Cart, Commerce, Auction, Fulfillment); không mở cho client</t>
  </si>
  <si>
    <t>thành công, chuyển</t>
  </si>
  <si>
    <t>• Ghi inbox_messages (message_id + consumer) trước, đã có thì bỏ qua
 • Tìm phiên mở theo product_id trong product_open_auctions
 • Sản phẩm thực sự bị ẩn hoặc xóa
 • Phiên đang ở DRAFT, SCHEDULED hoặc RUNNING, từ ENDED trở đi thì bỏ qua</t>
  </si>
  <si>
    <t>{
  "msg": "Lấy lịch sử uy tín thành công",
  "data": {
    "items": [
      {
        "id": "int",
        "changeAmount": "int",
        "scoreAfter": "int",
        "reason": "string",
        "referenceType": "string",
        "createdAt": "timestamp"
      }
    ]
  }
}</t>
  </si>
  <si>
    <t xml:space="preserve">POST /api/v1/payments/webhook
Headers: 
Body:    { }      </t>
  </si>
  <si>
    <t>400 VALIDATION_FAILED; 401 UNAUTHORIZED; 403 FORBIDDEN (một variant không bán được không gây lỗi cả lời gọi, kết quả trả theo từng dòng)</t>
  </si>
  <si>
    <t>• Nhận: ProductStatusChanged, ProductDeleted
 • Phát: AuctionCancelled</t>
  </si>
  <si>
    <t>• Một transaction:
 • INSERT inbox_messages
 • TransitionStatus → CANCELLED (changed_by rỗng, lý do sản phẩm bị ẩn)
 • DELETE product_open_auctions
 • INSERT outbox_messages</t>
  </si>
  <si>
    <t>PAY-01: dedupe inbox (message_id), check referenceId tồn tại, check amount = total_amount; lệch amount hoặc order đã CANCELLED/EXPIRED (thanh toán trễ) thì không PAID, phát OrderRefundRequested (thịnh)</t>
  </si>
  <si>
    <t>• Sản phẩm bị ẩn hoặc xóa thì phiên đang mở bị hủy
 • Phiên từ ENDED trở đi không bị hủy</t>
  </si>
  <si>
    <t>FUL-09</t>
  </si>
  <si>
    <t>AUC-33</t>
  </si>
  <si>
    <t>WAL-04</t>
  </si>
  <si>
    <t>OnUserBanned</t>
  </si>
  <si>
    <t>IsPurchasable = true khi sản phẩm và variant đều ACTIVE và chưa xóa; với Purpose CART hoặc CHECKOUT thì SaleType phải là REGULAR và Price lớn hơn 0; với Purpose AUCTION thì SaleType phải là AUCTION; Reason nhận các giá trị NOT_FOUND, PRODUCT_DELETED, PRODUCT_NOT_ACTIVE, VARIANT_DELETED, VARIANT_NOT_ACTIVE, NOT_FOR_REGULAR_SALE, NOT_FOR_AUCTION, PRICE_MISSING; chỉ kiểm tra trạng thái và giá, không kiểm tra tồn kho (thuộc Fulfillment); kết quả đúng tại thời điểm gọi nên checkout vẫn phải kiểm tra lại (CHECKOUT_PRICE_REVALIDATION); gom logic bán được vào một nơi để các service không tự viết lại; phục vụ SRS 3.4.1.6</t>
  </si>
  <si>
    <t>Nhận: Support Staff khóa tài khoản. Nếu là Seller thì hủy các phiên đang chạy của họ.</t>
  </si>
  <si>
    <t>PAY-01: group + orders sang PAID qua ORD-18 (CAS row_version), set paid_at, seller_respond_deadline_at = paid_at + 24h, wallet_transaction_id, ghi order_status_history (thịnh)</t>
  </si>
  <si>
    <t>Event nhận
 {
  "messageId": "UUID",
  "eventType": "UserBanned",
  "payload": {
  "userId": "UUID"
  }
 }</t>
  </si>
  <si>
    <t>PAY-01: confirm voucher usage RESERVED sang USED (DSC-04) (thịnh)</t>
  </si>
  <si>
    <t>• Ghi inbox_messages (message_id + consumer) trước, đã có thì bỏ qua
 • Tìm các phiên có seller_id = userId và status = RUNNING
 • Không có phiên nào (ví dụ người bị khóa là Buyer) thì bỏ qua</t>
  </si>
  <si>
    <t>• Nhận: UserBanned
 • Phát: AuctionCancelled (cho từng phiên)
 • Đẩy hub sau commit: AuctionStatusChanged</t>
  </si>
  <si>
    <t>PAY-01: xoá item đã mua khỏi cart theo sku_id, recalc item_count/subtotal_amount (CART), giỏ hết hàng thì carts.status = CHECKED_OUT (thịnh)</t>
  </si>
  <si>
    <t>• Mỗi phiên một transaction:
 • INSERT inbox_messages
 • TransitionStatus RUNNING → CANCELLED (changed_by rỗng, lý do Seller bị khóa)
 • DELETE product_open_auctions
 • INSERT outbox_messages</t>
  </si>
  <si>
    <t>• Seller bị khóa thì mọi phiên RUNNING của họ bị hủy, Fulfillment nhả kho
 • Buyer bị khóa thì không hủy phiên, bid của họ bị loại lúc chốt phiên (DetermineWinner)</t>
  </si>
  <si>
    <t>AUC-34</t>
  </si>
  <si>
    <t>GetAuctionStatusByProduct</t>
  </si>
  <si>
    <t>GET /internal/v1/auctions/status?productId={productId}
 Catalog lấy trạng thái phiên đấu giá gần nhất của một sản phẩm, để ẩn sản phẩm khỏi kho ảo khi đã bán xong.</t>
  </si>
  <si>
    <t>PAY-01: saga_state = COMPLETED, ghi outbox OrderPaid + CheckoutCompleted; PaymentFailed/Expired thì group về PENDING_PAYMENT (tối đa 3 lần) (thịnh)</t>
  </si>
  <si>
    <t>(Job hệ thống tự động quét)</t>
  </si>
  <si>
    <t>CAT-40</t>
  </si>
  <si>
    <t>quét thời gian cái qr đó hết hạn chưa, đổi trạng thái những cái liên quan</t>
  </si>
  <si>
    <t>API – Internal (REST)</t>
  </si>
  <si>
    <t>CHK-06: quét group PENDING_PAYMENT có payment_deadline_at &lt; now (mỗi 1 phút), batch 100, SELECT FOR UPDATE SKIP LOCKED (thịnh)</t>
  </si>
  <si>
    <t>Query
 {
  "productId": "UUID"
 }</t>
  </si>
  <si>
    <t>Xem danh sách ảnh sản phẩm</t>
  </si>
  <si>
    <t>200 OK
 {
  "productId": "UUID",
  "auctionId": "UUID | null",
  "status": "DRAFT | SCHEDULED | RUNNING | ENDED | SETTLED | FAILED | CANCELLED | null",
  "isOpen": "boolean",
  "isSold": "boolean"
 }
 Ghi chú field
 Sản phẩm chưa từng có phiên: auctionId và status là null, isOpen = false, isSold = false
 isOpen = true khi phiên còn giữ sản phẩm (từ DRAFT đến ENDED)
 isSold = true khi phiên gần nhất là SETTLED</t>
  </si>
  <si>
    <t>CHK-06: hỏi Payment (theo batch referenceIds) có giao dịch đang xử lý hoặc đã SUCCEEDED không; SUCCEEDED thì chuyển sang xử lý PAY-01, Payment không phản hồi thì bỏ qua vòng này (thịnh)</t>
  </si>
  <si>
    <t>• productId đúng định dạng UUID
 • Gọi từ mạng nội bộ</t>
  </si>
  <si>
    <t>Lấy toàn bộ ảnh chưa xóa của một sản phẩm kèm ImageId để seller xóa, đặt ảnh chính, sắp xếp (CAT-13, CAT-14).</t>
  </si>
  <si>
    <t>CHK-06: huỷ group + orders (CANCELLED/EXPIRED, reason PAYMENT_TIMEOUT, actor SYSTEM) qua ORD-18, ghi history, saga_state = COMPENSATED (thịnh)</t>
  </si>
  <si>
    <t>Chỉ đọc: auctions (index product_id), auction_states, product_open_auctions</t>
  </si>
  <si>
    <t>• Service Catalog (nội bộ)
 • Không route qua API Gateway</t>
  </si>
  <si>
    <t>• 400 VALIDATION_ERROR
 • 403 FORBIDDEN</t>
  </si>
  <si>
    <t>CHK-06: release voucher (DSC-04), ghi outbox CheckoutExpired + OrderCancelled (Fulfillment release tồn kho qua event) (thịnh)</t>
  </si>
  <si>
    <t>GET /api/v1/products/{id}/images | Query: VariantId (tùy chọn)</t>
  </si>
  <si>
    <t>• Phiên gần nhất là phiên có created_at mới nhất của productId
 • Catalog ẩn sản phẩm khi isSold = true. Phiên FAILED hoặc CANCELLED thì không ẩn vì seller có thể bán lại
 • Khi bán xong Auction cũng phát event AuctionSettled cho Catalog, API này dùng để kiểm tra lại theo yêu cầu</t>
  </si>
  <si>
    <t>ORD-22: consumer InventoryReservationExpired làm lưới an toàn, dùng chung hàm compensate với CHK-06 và CHK-05 (thịnh)</t>
  </si>
  <si>
    <t>200 OK | Items[ImageId, Url, AltText, IsActive, SortOrder, VariantId]</t>
  </si>
  <si>
    <t>AUC-35</t>
  </si>
  <si>
    <t>GetAuctionSummary</t>
  </si>
  <si>
    <t>GET /internal/v1/auctions/{auctionId}/summary
 Catalog lấy thông tin chi tiết một phiên: người đang trả giá cao nhất, giá khởi điểm, giá hiện tại, bước giá.</t>
  </si>
  <si>
    <t>Id đúng định dạng UUID; sản phẩm tồn tại và chưa xóa; Buyer chỉ xem sản phẩm ACTIVE; Seller xem sản phẩm của mình ở mọi trạng thái; VariantId nếu có phải thuộc sản phẩm</t>
  </si>
  <si>
    <t>REVIEW-03</t>
  </si>
  <si>
    <t>/api/v1/orders/{orderId}/accept</t>
  </si>
  <si>
    <t>seller chấp nhận cái đơn đó hay ko/ xác nhận</t>
  </si>
  <si>
    <t>REP-01 (+1 điểm đơn hoàn thành)</t>
  </si>
  <si>
    <t>200 OK
 {
  "auctionId": "UUID",
  "productId": "UUID",
  "sellerId": "UUID",
  "status": "DRAFT | SCHEDULED | RUNNING | ENDED | SETTLED | FAILED | CANCELLED",
  "startingPriceAmount": "number",
  "bidStepAmount": "number",
  "currentPriceAmount": "number | null",
  "currentLeadingBidderId": "UUID | null",
  "currentLeadingBidderMasked": "string | null",
  "bidCount": "int",
  "startsAt": "datetime",
  "endsAt": "datetime",
  "extensionCount": "int"
 }
 Ghi chú field
 currentLeadingBidderId là userId, chỉ trả cho service nội bộ (API công khai chỉ trả tên đã che)
 Cả hai field người dẫn đầu là null khi chưa ai bid
 startingPriceAmount là giá khởi điểm, Auction không có giá sàn riêng</t>
  </si>
  <si>
    <t xml:space="preserve">POST /api/v1/orders/{orderId}/accept
</t>
  </si>
  <si>
    <t>REP-02 (-10 điểm bùng kèo đấu giá)</t>
  </si>
  <si>
    <t>ORD-04: check seller_id = sub (không thì 404), status = PAID, now &lt;= seller_respond_deadline_at (thịnh)</t>
  </si>
  <si>
    <t>Chỉ đọc: auctions, auction_states, bid_history (tên đã che của người dẫn đầu)</t>
  </si>
  <si>
    <t>REP-03 (-5 điểm seller hủy đơn)</t>
  </si>
  <si>
    <t>ORD-18: OrderStateMachine.transition(PAID sang CONFIRMED, actor SELLER) CAS row_version, set seller_accepted_at, ghi order_status_history (thịnh)</t>
  </si>
  <si>
    <t>• 400 VALIDATION_ERROR
 • 403 FORBIDDEN
 • 404 AUCTION_NOT_FOUND</t>
  </si>
  <si>
    <t>FUL-13</t>
  </si>
  <si>
    <t>REP-04 (+/- điểm theo số sao đánh giá)</t>
  </si>
  <si>
    <t>• Người dẫn đầu lấy từ auction_states.current_winner_id
 • Sau khi phiên chốt, người thắng chính thức có thể khác người dẫn đầu cũ nếu bid bị loại, người thắng chính thức nằm trong event AuctionOrderRequested
 • Không trả dữ liệu ngoài các field liệt kê</t>
  </si>
  <si>
    <t>check thật sự những sản phẩm trông order thuộc seller đó(quỳnh)</t>
  </si>
  <si>
    <t>ADMIN-14 (nơi ghi reputation_logs)</t>
  </si>
  <si>
    <t>ORD-04: ghi outbox OrderSellerAccepted (Fulfillment tạo shipment khi nhận event) (thịnh)</t>
  </si>
  <si>
    <t>CAT-41</t>
  </si>
  <si>
    <t>Lấy tóm tắt nhiều sản phẩm theo ID (nội bộ)</t>
  </si>
  <si>
    <t>/api/v1/orders/{orderId}/reject</t>
  </si>
  <si>
    <t>seller chấp nhận cái đơn đó hay ko/ từ chối</t>
  </si>
  <si>
    <t>Cho Auction (AUC-01, AUC-08, AUC-14) lấy tên và ảnh chính của nhiều sản phẩm trong một lời gọi để ghép vào danh sách phiên. Trả cả sản phẩm đã INACTIVE vì danh sách có phiên đã kết thúc.</t>
  </si>
  <si>
    <t>POST /api/v1/orders/{orderId}/reject
Body: { }          // lý do</t>
  </si>
  <si>
    <t>GET /api/v1/internal/products/summary?ids=a,b,c (hoặc POST kèm danh sách khi quá dài)</t>
  </si>
  <si>
    <t>ORD-05: check seller_id = sub, status thuộc PAID hoặc CONFIRMED, reasonCode hợp lệ, reasonNote bắt buộc nếu OTHER (thịnh)</t>
  </si>
  <si>
    <t>200 OK | Items[ProductId, Name, PrimaryImageUrl, Status, SaleType, IsDeleted]; NotFoundIds[]</t>
  </si>
  <si>
    <t>ORD-06: OrderCancellationSaga TX-1: ORD-18 CAS sang CANCELLED (actor SELLER), lưu order_cancellations (was_paid = true) + order_refunds (REQUESTED) + history (thịnh)</t>
  </si>
  <si>
    <t>hoàn tiền lại ví(trí), tạo transaction luôn</t>
  </si>
  <si>
    <t>Tối đa 100 ID mỗi lần; mỗi ID đúng định dạng UUID; không lọc theo trạng thái ACTIVE; chỉ nhận lời gọi từ service nội bộ (token service-to-service)</t>
  </si>
  <si>
    <t>seller bị trừ uy tín(vinh)</t>
  </si>
  <si>
    <t>/api/v1/user/{userId}/reviews</t>
  </si>
  <si>
    <t>ORD-05: release voucher (DSC-04), ghi outbox OrderCancelled + OrderRefundRequested (hoàn 100% cho buyer) (thịnh)</t>
  </si>
  <si>
    <t>Xem danh sách đánh giá công khai của 1 user/Shop</t>
  </si>
  <si>
    <t>Path: { "userId": "uuid" }
Query:
{
  "page": "int (default: 1)",
  "limit": "int (default: 10)",
  "filter_rating": "int (optional: 1..5)"
}</t>
  </si>
  <si>
    <t>sau 24 tiếng seller ko xác nhận đơn hàng thì hủy</t>
  </si>
  <si>
    <t>ORD-09: quét order PAID có seller_respond_deadline_at &lt; now (mỗi 1 phút), batch + SKIP LOCKED, lỗi 1 order không chặn cả batch (thịnh)</t>
  </si>
  <si>
    <t>{
  "msg": "Lấy danh sách đánh giá thành công",
  "data": {
    "items": [
      {
        "id": "uuid",
        "reviewerName": "string",
        "rating": "int",
        "comment": "string",
        "mediaUrls": "string[]",
        "createdAt": "timestamp"
      }
    ],
    "averageRating": "decimal",
    "totalReviews": "int"
  }
}</t>
  </si>
  <si>
    <t>ORD-06: OrderCancellationSaga cho từng order: ORD-18 CAS sang CANCELLED (reason SELLER_NO_RESPONSE, actor SYSTEM), lưu order_cancellations + order_refunds (REQUESTED) + history (thịnh)</t>
  </si>
  <si>
    <t>CAT-42</t>
  </si>
  <si>
    <t>Xem chi tiết variant (Seller, Admin)</t>
  </si>
  <si>
    <t>Seller hoặc Admin xem hoặc mở form sửa một variant mà không cần tải cả sản phẩm. Service khác dùng CAT-23.</t>
  </si>
  <si>
    <t>ORD-09: release voucher (DSC-04), ghi outbox OrderCancelled + OrderRefundRequested (thịnh)</t>
  </si>
  <si>
    <t>GET /api/v1/variants/{id}</t>
  </si>
  <si>
    <t>200 OK | VariantId; ProductId; SkuCode; Name; Price; Currency; Status; StatusReason; IsDefault; HasOrder; Attributes[AttrName, AttrValue]; Images[ImageId, Url, IsActive]</t>
  </si>
  <si>
    <t>Id đúng định dạng UUID; variant chưa xóa; người gọi là chủ sản phẩm hoặc Admin</t>
  </si>
  <si>
    <t>/api/v1/shipments/{shipmentId}</t>
  </si>
  <si>
    <t>coi thông tin chi tiết của 1 shipment</t>
  </si>
  <si>
    <t>data: [ { } ]</t>
  </si>
  <si>
    <t>FUL-19</t>
  </si>
  <si>
    <t>/api/v1/shipments/order/{orderId}</t>
  </si>
  <si>
    <t>coi order đó có mấy shipment</t>
  </si>
  <si>
    <t>ORD-02: check order thuộc buyer hoặc seller đang đăng nhập (seller chỉ xem order đã paid_at), không thì 404 ORDER_NOT_FOUND (thịnh)</t>
  </si>
  <si>
    <t>CAT-43</t>
  </si>
  <si>
    <t>ORD-02: Fulfillment lỗi thì degrade trả shipment rỗng, không trả 503 (thịnh)</t>
  </si>
  <si>
    <t>Tạo sản phẩm bán đấu giá</t>
  </si>
  <si>
    <t>Seller hoặc Admin tạo sản phẩm bán đấu giá (SaleType = AUCTION) với đúng 1 variant. Trạng thái ban đầu là DRAFT. Giá khởi điểm và bước giá nằm ở Auction (AUC-10), Catalog không lưu giá. Dùng chung hàm lõi với CAT-01.</t>
  </si>
  <si>
    <t>/api/v1/seller/shipment</t>
  </si>
  <si>
    <t>POST /api/v1/products/auction | Body: CategoryId; Name; Description; Brand; Specifications; Variant[SkuCode, Name, Attributes[AttrName, AttrValue]]</t>
  </si>
  <si>
    <t>lấy danh sách các đơn ship của selller phải giao</t>
  </si>
  <si>
    <t>201 Created | ProductId; Status = DRAFT; SaleType = AUCTION; Variant[VariantId, SkuCode]</t>
  </si>
  <si>
    <t>GET /api/v1/seller/shipments
Query: page, size</t>
  </si>
  <si>
    <t>data: { items: [ { } ], page, size, totalItems, totalPages }</t>
  </si>
  <si>
    <t>REVIEW-02</t>
  </si>
  <si>
    <t>Name không rỗng; CategoryId tồn tại, còn hoạt động và chưa xóa; đúng 1 variant (một object, không phải danh sách); SkuCode duy nhất; Price phải để trống (không nhận giá); variant tự là variant mặc định; SaleType do server tự gán là AUCTION, không nhận từ body</t>
  </si>
  <si>
    <t>User Service: xác thực người dùng và seller qua token (SellerId lấy từ token). Có thể gọi CheckReputation (action SELL) để chặn sớm seller không đủ điều kiện, hoặc để AUC-10 kiểm khi tạo phiên (cần chốt)</t>
  </si>
  <si>
    <t>ProductCreated (kèm SaleType)</t>
  </si>
  <si>
    <t>/api/v1/seller/shipment/search</t>
  </si>
  <si>
    <t>filter, search shipment của 1 seller, lọc trạng thái</t>
  </si>
  <si>
    <t>GET /api/v1/seller/shipments/search
Query: page, size, + các điều kiện lọc</t>
  </si>
  <si>
    <t>/api/v1/seller/shipment/{shipmentId}</t>
  </si>
  <si>
    <t>coi chi tiết cái shipment của seller đó</t>
  </si>
  <si>
    <t>/api/v1/review/files/upload</t>
  </si>
  <si>
    <t>FUL-19, FUL-20</t>
  </si>
  <si>
    <t xml:space="preserve">Upload đánh giá sản phẩm </t>
  </si>
  <si>
    <t>Headers:
{
  "Authorization": "Bearer JWT",
  "Content-Type": "multipart/form-data"
}
Body:
{
  "files": "binary[] (max 5 files)"
}</t>
  </si>
  <si>
    <t>/api/v1/shipments/{shipmentId}/tracking</t>
  </si>
  <si>
    <t>cập nhập trạng thái cái shipment từ ghn</t>
  </si>
  <si>
    <t>{
  "msg": "Upload ảnh đánh giá thành công",
  "data": {
    "fileUrls": "string[]"
  }
}</t>
  </si>
  <si>
    <t xml:space="preserve">PATCH /api/v1/shipments/{shipmentId}/tracking
Headers: Authorization: Bearer &lt;access_token&gt;
         Content-Type: application/json
Body:    { }        </t>
  </si>
  <si>
    <t>FUL-17</t>
  </si>
  <si>
    <t>/api/v1/order/{orderId}/products/{productId}/reviews</t>
  </si>
  <si>
    <t>ddbuyer đánh giá 1 sản phẩm, check sản phẩm đã được mua chưa, đã hoàn thành chưa, có phải người này ko. phải điền order id vào</t>
  </si>
  <si>
    <t>POST /api/v1/order/{orderId}/products/{productId}/reviews
Body: { }</t>
  </si>
  <si>
    <t>ORD-23 (mới): GET /internal/v1/orders/{orderId}/rating-eligibility?userId=&amp;productId= , check order tồn tại, buyer_id = userId, status = COMPLETED mới được đánh giá (thịnh)</t>
  </si>
  <si>
    <t>check order đó đã đánh giá chưa (quỳnh)</t>
  </si>
  <si>
    <t>lưu đánh giá cho sản phẩm đó èm userid(quỳnh)</t>
  </si>
  <si>
    <t>FILE-02</t>
  </si>
  <si>
    <t>ORD-23 (mới): check order_items có chứa productId, nhiều quantity trong 1 order_item vẫn tính 1 lần đánh giá, trả {eligible, buyerId, sellerId, status, containsProduct} (thịnh)</t>
  </si>
  <si>
    <t>REVIEW-01</t>
  </si>
  <si>
    <t>/api/v1/order/{orderId}/user/{userId}</t>
  </si>
  <si>
    <t>đánh giá người dùng</t>
  </si>
  <si>
    <t>POST /api/v1/order/{orderId}/user/{userId}
Body: { }</t>
  </si>
  <si>
    <t>ORD-23 (mới): check order tồn tại, status = COMPLETED, buyer_id = người đang đăng nhập (thịnh)</t>
  </si>
  <si>
    <t>check người đó đã đánh giá cái seller đó chưa, cùng 1 order(vinh)</t>
  </si>
  <si>
    <t>lưu đánh giá (vinh)</t>
  </si>
  <si>
    <t>/api/v1/reviews</t>
  </si>
  <si>
    <t>ORD-23 (mới): check order.seller_id = {userId} (người bị đánh giá), trả {eligible, buyerId, sellerId, status} (thịnh)</t>
  </si>
  <si>
    <t>Đánh giá đối tác 2 chiều (Buyer ↔ Seller)</t>
  </si>
  <si>
    <t>Headers: { "Authorization": "Bearer JWT" }
Body:
{
  "transaction_type": "string (\"ORDER\" | \"AUCTION\")",
  "transaction_id": "uuid",
  "target_user_id": "uuid",
  "rating": "int (1..5)",
  "comment": "string (10..500 ký tự)",
  "media_urls": "string[] (optional)"
}</t>
  </si>
  <si>
    <t>chỉnh sửa đánh giá sản phẩm</t>
  </si>
  <si>
    <t xml:space="preserve">PATCH /api/v1/order/{orderId}/products/{productId}/reviews
Body: { }         </t>
  </si>
  <si>
    <t>{
  "msg": "Gửi đánh giá thành công! Điểm uy tín của đối tác đã được cập nhật",
  "data": {
    "reviewId": "uuid",
    "newTargetReputationScore": "int"
  }
}</t>
  </si>
  <si>
    <t>chỉnh sửa đánh giá người dùng</t>
  </si>
  <si>
    <t xml:space="preserve">PATCH /api/v1/order/{orderId}/user/{userId}
Body: { }          </t>
  </si>
  <si>
    <t>/api/v1/shipment/{shipmentId}/complete</t>
  </si>
  <si>
    <t>ORD-02 (check đơn tồn tại)</t>
  </si>
  <si>
    <t>người dùng ấn nút đã nhận được hàng</t>
  </si>
  <si>
    <t>POST /api/v1/shipment/{shipmentId}/complete</t>
  </si>
  <si>
    <t>FUL-23</t>
  </si>
  <si>
    <t>check với ghn nhanh đã đúng chưa</t>
  </si>
  <si>
    <t>ORD-07: check buyer_id = sub, status = DELIVERED, không thì 409 ORDER_STATE_CONFLICT (thịnh)</t>
  </si>
  <si>
    <t>ORD-18: OrderStateMachine.transition(DELIVERED sang COMPLETED, actor BUYER) CAS row_version, set completed_at, ghi order_status_history (thịnh)</t>
  </si>
  <si>
    <t>AUC-09 (kết quả đấu giá)</t>
  </si>
  <si>
    <t>ORD-07: ghi outbox OrderCompleted (Payment chuyển tiền seller và sinh hoá đơn chạy bất đồng bộ qua event) (thịnh)</t>
  </si>
  <si>
    <t>FILE-02 (upload ảnh đính kèm)</t>
  </si>
  <si>
    <t>REP-04 (cập nhật uy tín theo sao)</t>
  </si>
  <si>
    <t>api/v1/shipments/webhook</t>
  </si>
  <si>
    <t>NOTI-10 (thông báo đối tác nhận đánh giá)</t>
  </si>
  <si>
    <t>nhận thông tin từ ghn. 
nếu nhận được đơn hàng hoàn thành, thì đổi trạng thái những cái liên quan</t>
  </si>
  <si>
    <t xml:space="preserve">POST /api/v1/shipments/webhook
Headers: (thay Authorization bằng cách xác thực của GHN)
Body:    { }   </t>
  </si>
  <si>
    <t>ORD-10: dedupe inbox (message_id), check order tồn tại, bỏ qua event cũ hoặc sai thứ tự (thịnh)</t>
  </si>
  <si>
    <t>ORD-23 (check đơn COMPLETED &amp; hạn 7 ngày)</t>
  </si>
  <si>
    <t>ORD-10: PickedUp/InTransit sang SHIPPING (set shipped_at); Delivered sang DELIVERED (nếu đang CONFIRMED thì đi 2 bước CONFIRMED &gt; SHIPPING &gt; DELIVERED, ghi 2 dòng history) qua ORD-18 (thịnh)</t>
  </si>
  <si>
    <t>tăng uy tín nếu đơn hàng xong thì tăng uy tín (vinh)</t>
  </si>
  <si>
    <t>ORD-10: Returned sang CANCELLED (reason DELIVERY_RETURNED, actor SYSTEM) + tạo order_refunds; Failed giữ SHIPPING và báo Support (thịnh)</t>
  </si>
  <si>
    <t>ORD-10: ghi outbox OrderShipped / OrderDelivered / OrderCancelled (thịnh)</t>
  </si>
  <si>
    <t>api/v1/subOrder/{subOrderId}/refund</t>
  </si>
  <si>
    <t>/api/v1/report/files/upload</t>
  </si>
  <si>
    <t>hoàn suborrder riêng lẻ, có check điều kiện</t>
  </si>
  <si>
    <t>Upload bằng chứng tố cáo tài khoản vi phạm (User Violation Evidence)</t>
  </si>
  <si>
    <t>ORD-13: check status thuộc DELIVERED / COMPLETED / CANCELLED (đã trả tiền, chưa hoàn), Idempotency-Key (ORD-19), chưa có order_refunds REQUESTED/COMPLETED, amount = total_amount (thịnh)</t>
  </si>
  <si>
    <t>Headers:
{
  "Authorization": "Bearer JWT",
  "Content-Type": "multipart/form-data"
}
Body:
{
  "files": "binary[] (&lt;= 5MB)"
}</t>
  </si>
  <si>
    <t>FUL-24 FUL-25</t>
  </si>
  <si>
    <t>{
  "msg": "Upload bằng chứng tố cáo thành công",
  "data": {
    "fileUrls": "string[]"
  }
}</t>
  </si>
  <si>
    <t>hoàn tiền vào ví người dùng với số tiền tương ứng với cái suborrder đó, lưu transaction ví( trí)</t>
  </si>
  <si>
    <t>ORD-13: INSERT order_refunds (REQUESTED) + history, ghi outbox OrderRefundRequested, trả 202 (thịnh)</t>
  </si>
  <si>
    <t>ORD-14: consumer RefundCompleted/RefundFailed: dedupe inbox, check amount &lt;= total_amount, cập nhật order_refunds (COMPLETED/FAILED) + refund_transaction_id (thịnh)</t>
  </si>
  <si>
    <t>tạo thông báo cho seller và user là đã hoàn tiền thành công vào ví, và đơn hàng đã được hoàn của seller</t>
  </si>
  <si>
    <t>ORD-14: ORD-18 CAS order sang REFUNDED, ghi history, outbox OrderRefundCompleted; RefundFailed thì báo Support đối soát (thịnh)</t>
  </si>
  <si>
    <t>FILE-01</t>
  </si>
  <si>
    <t>REPORT-01</t>
  </si>
  <si>
    <t>/api/v1/users/reports</t>
  </si>
  <si>
    <t>Người dùng gửi đơn tố cáo tài khoản vi phạm quy chế</t>
  </si>
  <si>
    <t>Headers: { "Authorization": "Bearer JWT" }
Body:
{
  "reported_user_id": "uuid",
  "violation_type": "string",
  "description": "string (10..1000 ký tự)",
  "evidence_urls": "string[] (optional)"
}</t>
  </si>
  <si>
    <t>{
  "msg": "Gửi đơn tố cáo thành công. Nhân viên sẽ thụ lý trong 24h",
  "data": {
    "reportId": "uuid",
    "status": "PENDING",
    "submittedAt": "timestamp"
  }
}</t>
  </si>
  <si>
    <t>FILE-01 (upload bằng chứng vi phạm)</t>
  </si>
  <si>
    <t>/api/v1/me/reports</t>
  </si>
  <si>
    <t>Người dùng xem danh sách các báo cáo do mình đã gửi</t>
  </si>
  <si>
    <t>Headers: { "Authorization": "Bearer JWT" }
Query:
{
  "page": "int (default: 1)",
  "limit": "int (default: 20)",
  "status": "string (optional: PENDING, RESOLVED, REJECTED)"
}</t>
  </si>
  <si>
    <t>{
  "msg": "Lấy danh sách tố cáo đã gửi thành công",
  "data": {
    "items": [
      {
        "reportId": "uuid",
        "targetType": "string",
        "targetId": "uuid",
        "reason": "string",
        "evidenceUrls": "string[]",
        "status": "string",
        "adminNote": "string",
        "createdAt": "timestamp",
        "resolvedAt": "timestamp"
      }
    ],
    "pagination": {
      "total": "int",
      "page": "int",
      "limit": "int"
    }
  }
}</t>
  </si>
  <si>
    <t>REPORT-05</t>
  </si>
  <si>
    <t>/api/v1/seller/registration</t>
  </si>
  <si>
    <t>Seller tạo đơn đăng kí</t>
  </si>
  <si>
    <t>Headers: { "Authorization": "Bearer JWT" }
Body:
{
  "shopName": "string",
  "businessEmail": "string",
  "hotline": "string",
  "warehouseAddress": {
    "province_id": "int",
    "district_id": "int",
    "ward_code": "string",
    "street_address": "string"
  },
  "identityCardNumber": "string"
}</t>
  </si>
  <si>
    <t>{
  "msg": "Hồ sơ mở Shop đã được tiếp nhận và chuyển sang trạng thái chờ duyệt",
  "data": {
    "registrationId": "uuid",
    "status": "PENDING_APPROVAL",
    "submittedAt": "timestamp"
  }
}</t>
  </si>
  <si>
    <t>SELLER-01</t>
  </si>
  <si>
    <t>NOTI-10 (gửi OTP mở shop)</t>
  </si>
  <si>
    <t>GHN API (kiểm tra bưu cục kho)</t>
  </si>
  <si>
    <t>ADMIN-12 (check ngưỡng uy tín &gt;= 50)</t>
  </si>
  <si>
    <t>/api/v1/seller/registration/otp/resend</t>
  </si>
  <si>
    <t>Gửi lại otp cho tài khoản Seller</t>
  </si>
  <si>
    <t>Headers: { "Authorization": "Bearer JWT" }
Body:
{
  "registrationId": "uuid",
  "businessEmail": "string (optional)"
}</t>
  </si>
  <si>
    <t>z</t>
  </si>
  <si>
    <t>{
  "msg": "Mã OTP xác thực mở Shop đã được gửi lại tới email",
  "data": {
    "registrationId": "uuid",
    "cooldown": 60
  }
}</t>
  </si>
  <si>
    <t>SELLER-02</t>
  </si>
  <si>
    <t>NOTI-10 (gửi lại OTP qua email mở shop)</t>
  </si>
  <si>
    <t>- FUL-01</t>
  </si>
  <si>
    <t>DeclareInventory</t>
  </si>
  <si>
    <t>/api/v1/seller/registration/documents</t>
  </si>
  <si>
    <t>Upload tài liệu Seller(CCCD, ....)</t>
  </si>
  <si>
    <t>Khai báo tồn kho ban đầu cho SKU</t>
  </si>
  <si>
    <t>Headers:
{
  "Authorization": "Bearer JWT",
  "Content-Type": "multipart/form-data"
}
Body:
{
  "registrationId": "uuid",
  "frontCccd": "binary",
  "backCccd": "binary",
  "businessLicense": "binary (optional)"
}</t>
  </si>
  <si>
    <t>command</t>
  </si>
  <si>
    <t>{
  "msg": "Tải lên tài liệu định danh thành công",
  "data": {
    "documentUrls": "string[]"
  }
}</t>
  </si>
  <si>
    <t>skuId (uuid)- warehouseId (opt, WH_001)- quantity (&gt;0)- note (opt)</t>
  </si>
  <si>
    <t>id- skuId- totalQuantity- reservedQuantity- availableQuantity</t>
  </si>
  <si>
    <t>skuId required- quantity &gt; 0</t>
  </si>
  <si>
    <t>Catalog Service (check SKU &amp; owner)</t>
  </si>
  <si>
    <t>no</t>
  </si>
  <si>
    <t>yes</t>
  </si>
  <si>
    <t>Seller</t>
  </si>
  <si>
    <t>400 (bad req)- 403 (ko phải chủ SKU)- 409 (đã khai kho)</t>
  </si>
  <si>
    <t>Mỗi SKU 1 bản ghi trên 1 kho- available = total - reserved- Ghi Ledger INITIAL</t>
  </si>
  <si>
    <t>- FUL-02</t>
  </si>
  <si>
    <t>AdjustInventory</t>
  </si>
  <si>
    <t>Nhập kho (INTAKE) hoặc điều chỉnh (ADJUST)</t>
  </si>
  <si>
    <t>SELLER-03</t>
  </si>
  <si>
    <t>skuId (path)- type (INTAKE/ADJUST)- quantity (!= 0)- reason (req)</t>
  </si>
  <si>
    <t>skuId- totalQuantity- reservedQuantity- availableQuantity- adjustmentLedgerId</t>
  </si>
  <si>
    <t>type in [INTAKE, ADJUST]- INTAKE: quantity &gt; 0- reason required</t>
  </si>
  <si>
    <t>Seller, Admin</t>
  </si>
  <si>
    <t>404 (chưa khai kho)- 422 (total &lt; reserved hoặc &lt; 0)</t>
  </si>
  <si>
    <t>Chặn nếu total &lt; reserved- Ghi Ledger ADJUST/INTAKE kèm balanceAfter</t>
  </si>
  <si>
    <t>- FUL-03</t>
  </si>
  <si>
    <t>GetInventoryBySku</t>
  </si>
  <si>
    <t>/api/v1/seller/otp/verify</t>
  </si>
  <si>
    <t>Lấy thông tin tồn kho của SKU</t>
  </si>
  <si>
    <t>Xác thực mã otp của Seller</t>
  </si>
  <si>
    <t>query</t>
  </si>
  <si>
    <t>skuId (path)</t>
  </si>
  <si>
    <t>Headers: { "Authorization": "Bearer JWT" }
Body:
{
  "registrationId": "uuid",
  "otpCode": "string (6 digits)"
}</t>
  </si>
  <si>
    <t>skuId- warehouseId- totalQuantity- reservedQuantity- availableQuantity</t>
  </si>
  <si>
    <t>skuId format uuid</t>
  </si>
  <si>
    <t>{
  "msg": "Xác thực OTP thành công. Hồ sơ đã chuyển sang chờ Staff duyệt",
  "data": {
    "registrationId": "uuid",
    "status": "PENDING_APPROVAL"
  }
}</t>
  </si>
  <si>
    <t>Seller, Admin, Staff</t>
  </si>
  <si>
    <t>404 (chưa khai kho)- 403 (không có quyền)</t>
  </si>
  <si>
    <t>Luôn tính available = total - reserved</t>
  </si>
  <si>
    <t>- FUL-04</t>
  </si>
  <si>
    <t>GetInventoryByListSku</t>
  </si>
  <si>
    <t>Lấy thông tin tồn kho của danh sách SKU</t>
  </si>
  <si>
    <t>listSkuId (listPath)</t>
  </si>
  <si>
    <t>[{skuId- warehouseId- totalQuantity- reservedQuantity- availableQuantity}]</t>
  </si>
  <si>
    <t>SELLER-04</t>
  </si>
  <si>
    <t>- FUL-05</t>
  </si>
  <si>
    <t>GetInventoryLedger</t>
  </si>
  <si>
    <t>Lấy lịch sử biến động sổ cái kho</t>
  </si>
  <si>
    <t>skuId (path)- movementType (opt)- from, to, page, pageSize</t>
  </si>
  <si>
    <t>items (list bút toán: id, movementType, quantity, balanceAfter, createdAt)- total</t>
  </si>
  <si>
    <t>page &gt;= 1- pageSize 1-100</t>
  </si>
  <si>
    <t>404 (chưa khai kho)</t>
  </si>
  <si>
    <t>Bảng chỉ đọc (append-only), không sửa xóa</t>
  </si>
  <si>
    <t>- FUL-06</t>
  </si>
  <si>
    <t>Seller xem đơn (đã được duyệt làm Seller hay chưa)</t>
  </si>
  <si>
    <t>HandleOrderCreated_ReserveInventory</t>
  </si>
  <si>
    <t>Nhận event tạo đơn từ Commerce, giữ kho</t>
  </si>
  <si>
    <t>event-handler</t>
  </si>
  <si>
    <t>messageId- orderId- items: [{skuId, quantity}]- paymentExpiresAt</t>
  </si>
  <si>
    <t>{
  "msg": "Lấy trạng thái hồ sơ thành công",
  "data": {
    "registrationId": "uuid",
    "status": "PENDING_APPROVAL | APPROVED | REJECTED",
    "rejectionReason": "string | null",
    "submittedAt": "timestamp"
  }
}</t>
  </si>
  <si>
    <t>orderId required- items ko rỗng, quantity &gt; 0</t>
  </si>
  <si>
    <t>InventoryReserved / InventoryReservationFailed</t>
  </si>
  <si>
    <t>System / Queue</t>
  </si>
  <si>
    <t>Trùng messageId (bỏ qua)- Thiếu hàng (bắn Failed)</t>
  </si>
  <si>
    <t>Idempotency theo (ORDER, orderId)- Lock hàng theo thứ tự skuId tăng dần tránh deadlock- available &gt;= qty thì tăng reserved, tạo Reservation PENDING</t>
  </si>
  <si>
    <t>- FUL-07</t>
  </si>
  <si>
    <t>HandleAuctionCreated_ReserveInventory</t>
  </si>
  <si>
    <t>Nhận event tạo đấu giá, giữ kho suốt phiên</t>
  </si>
  <si>
    <t>messageId- auctionId- skuId- quantity- endAt</t>
  </si>
  <si>
    <t>auctionId, skuId required- quantity &gt; 0</t>
  </si>
  <si>
    <t>Trùng messageId- Thiếu tồn kho khả dụng</t>
  </si>
  <si>
    <t>SELLER-05</t>
  </si>
  <si>
    <t>Giữ hàng suốt phiên, hạn mặc định endAt + 24h- Reference: (AUCTION, auctionId)</t>
  </si>
  <si>
    <t>- FUL-08</t>
  </si>
  <si>
    <t>HandleAuctionSettled_ExtendReservation</t>
  </si>
  <si>
    <t>Chốt người thắng đấu giá, gia hạn giữ kho 24h</t>
  </si>
  <si>
    <t>auctionId- winnerId- settledAt</t>
  </si>
  <si>
    <t>auctionId required</t>
  </si>
  <si>
    <t>Không tìm thấy reservation</t>
  </si>
  <si>
    <t>Cập nhật expiresAt = settledAt + 24h</t>
  </si>
  <si>
    <t>- FUL-09</t>
  </si>
  <si>
    <t>HandleOrderPaid_CommitInventory</t>
  </si>
  <si>
    <t>/api/v1/seller/profile</t>
  </si>
  <si>
    <t>Nhận event thanh toán, chính thức trừ kho</t>
  </si>
  <si>
    <t>Seller tự coi thông tin shop</t>
  </si>
  <si>
    <t>orderId- orderType (NORMAL/AUCTION)- auctionId (nếu AUCTION)</t>
  </si>
  <si>
    <t>orderId required</t>
  </si>
  <si>
    <t>{
  "msg": "Lấy thông tin Shop thành công",
  "data": {
    "shopId": "uuid",
    "shopName": "string",
    "hotline": "string",
    "pickupAddress": "string",
    "ghnShopId": "string",
    "ratingAvg": "decimal",
    "totalProducts": "int"
  }
}</t>
  </si>
  <si>
    <t>InventoryCommitted</t>
  </si>
  <si>
    <t>Reservation ko hợp lệ</t>
  </si>
  <si>
    <t>total -= qty, reserved -= qty- Chuyển Reservation sang COMMITTED- Ghi Ledger COMMIT</t>
  </si>
  <si>
    <t>- FUL-10</t>
  </si>
  <si>
    <t>HandleOrderCancelledOrFailed_ReleaseInventory</t>
  </si>
  <si>
    <t>Hủy đơn/thất bại, nhả kho về khả dụng</t>
  </si>
  <si>
    <t>referenceType (ORDER/AUCTION)- referenceId- reason</t>
  </si>
  <si>
    <t>referenceType, referenceId required</t>
  </si>
  <si>
    <t>InventoryReleased</t>
  </si>
  <si>
    <t>Đã release trước đó (idempotent)</t>
  </si>
  <si>
    <t>reserved -= qty (available tăng lại ngay)- Chuyển Reservation sang RELEASED- Ghi Ledger RELEASE</t>
  </si>
  <si>
    <t>- FUL-11</t>
  </si>
  <si>
    <t>AutoExpireInventoryReservationsJob</t>
  </si>
  <si>
    <t>SELLER-06</t>
  </si>
  <si>
    <t>Quét định kỳ nhả thẻ giữ kho quá hạn</t>
  </si>
  <si>
    <t>no (Cronjob nền)</t>
  </si>
  <si>
    <t>số lượng bản ghi đã nhả</t>
  </si>
  <si>
    <t>Quét PENDING có expiresAt &lt; NOW()- Nhả reservedQuantity về available</t>
  </si>
  <si>
    <t>- FUL-12</t>
  </si>
  <si>
    <t>CalculateShippingFee</t>
  </si>
  <si>
    <t>Tính cước và ngày giao hàng qua GHN</t>
  </si>
  <si>
    <t>Cập nhật thông tin cá nhân hồ sơ cho Seller</t>
  </si>
  <si>
    <t>sellerAddress (ward, district, prov)- buyerAddress (ward, district, prov)- weightGram</t>
  </si>
  <si>
    <t>fee- serviceType- estimatedDeliveryAt</t>
  </si>
  <si>
    <t>Headers: { "Authorization": "Bearer JWT" }
Body:
{
  "shopName": "string (optional)",
  "hotline": "string (optional)",
  "pickupAddress": {
    "province_id": "int",
    "district_id": "int",
    "ward_code": "string",
    "street_address": "string"
  },
  "description": "string"
}</t>
  </si>
  <si>
    <t>Đầy đủ mã ward/district/province- weightGram &gt; 0</t>
  </si>
  <si>
    <t>GHN API (tính cước)</t>
  </si>
  <si>
    <t>{
  "msg": "Cập nhật thông tin Shop thành công",
  "data": {
    "shopId": "uuid",
    "shopName": "string",
    "updatedAt": "timestamp"
  }
}</t>
  </si>
  <si>
    <t>Commerce (Internal)</t>
  </si>
  <si>
    <t>400 (sai địa chỉ)- 503 (GHN lỗi sau 3 lần retry)</t>
  </si>
  <si>
    <t>Gọi GHN, retry backoff tối đa 3 lần- Không lưu DB, tính toán stateless</t>
  </si>
  <si>
    <t>- FUL-13</t>
  </si>
  <si>
    <t>HandleOrderSellerAccepted_CreateShipment</t>
  </si>
  <si>
    <t>Seller chấp nhận đơn, tạo vận đơn GHN</t>
  </si>
  <si>
    <t>orderId- sellerId- items: [{skuId, qty, weightGram}]- receiver, pickupAddress</t>
  </si>
  <si>
    <t>Đầy đủ thông tin người nhận, địa chỉ lấy và kiện hàng</t>
  </si>
  <si>
    <t>GHN API (tạo đơn v2)</t>
  </si>
  <si>
    <t>ShipmentCreated</t>
  </si>
  <si>
    <t>GHN lỗi (đánh dấu CREATION_FAILED để retry)</t>
  </si>
  <si>
    <t>Tạo Shipment với trạng thái ban đầu CREATED- Lưu trackingNumber, phí ship, link nhãn in</t>
  </si>
  <si>
    <t>- FUL-14</t>
  </si>
  <si>
    <t>PickShipment</t>
  </si>
  <si>
    <t>Seller xác nhận lấy hàng khỏi kệ</t>
  </si>
  <si>
    <t>SELLER-07</t>
  </si>
  <si>
    <t>id (path, ShipmentId)</t>
  </si>
  <si>
    <t>id- status- pickedAt</t>
  </si>
  <si>
    <t>id format uuid</t>
  </si>
  <si>
    <t>FUL-12 (tính lại cước ship GHN khi kho đổi địa chỉ)</t>
  </si>
  <si>
    <t>404 (ko thấy)- 409 (chưa CREATED hoặc đã pick)</t>
  </si>
  <si>
    <t>Ghi nhận pickedAt = NOW()- Chỉ thực hiện khi đơn đã chấp nhận/thanh toán</t>
  </si>
  <si>
    <t>- FUL-15</t>
  </si>
  <si>
    <t>PackAndReadyShipment</t>
  </si>
  <si>
    <t>FUL-13 (đồng bộ địa chỉ kho bưu tá GHN lấy hàng)</t>
  </si>
  <si>
    <t>Seller đóng gói xong, dán nhãn GHN</t>
  </si>
  <si>
    <t>ORD-01 (đồng bộ tên shop mới vào đơn hàng)</t>
  </si>
  <si>
    <t>id (path, ShipmentId)- weightGram (opt)- note (opt)</t>
  </si>
  <si>
    <t>id- status- packedAt</t>
  </si>
  <si>
    <t>weightGram &gt; 0</t>
  </si>
  <si>
    <t>CART-01 (đồng bộ tên shop mới vào giỏ hàng)</t>
  </si>
  <si>
    <t>404 (ko thấy)- 409 (chưa thực hiện Pick)</t>
  </si>
  <si>
    <t>Bắt buộc phải Pick trước khi Pack- Cập nhật packedAt = NOW(), sẵn sàng cho GHN</t>
  </si>
  <si>
    <t>- FUL-16</t>
  </si>
  <si>
    <t>GetShipmentLabel</t>
  </si>
  <si>
    <t>Lấy đường dẫn in nhãn dán kiện hàng GHN</t>
  </si>
  <si>
    <t>shipmentId- trackingNumber- labelUrl- expiresAt</t>
  </si>
  <si>
    <t>no (hoặc GHN nếu hết hạn token nhãn)</t>
  </si>
  <si>
    <t>404 (chưa có mã GHN)</t>
  </si>
  <si>
    <t>/api/v1/admin/seller-registrations</t>
  </si>
  <si>
    <t>Trả về link in phiếu gửi nhiệt A5/A4 từ GHN</t>
  </si>
  <si>
    <t>Danh sách hồ sơ Seller chờ duyệt</t>
  </si>
  <si>
    <t>- FUL-17</t>
  </si>
  <si>
    <t>HandleGhnWebhook</t>
  </si>
  <si>
    <t>Nhận cập nhật trạng thái từ webhook GHN</t>
  </si>
  <si>
    <t>Headers: { "Authorization": "Bearer JWT" }
Query:
{
  "page": "int (default: 1)",
  "limit": "int (default: 20)",
  "status": "string (default: PENDING_APPROVAL)"
}</t>
  </si>
  <si>
    <t>Header: secret token- Body: OrderCode, Status, Time, Description, EventId</t>
  </si>
  <si>
    <t>message: "Webhook processed successfully"</t>
  </si>
  <si>
    <t>{
  "msg": "Lấy danh sách hồ sơ mở Shop thành công",
  "data": {
    "items": [
      {
        "registrationId": "uuid",
        "userId": "uuid",
        "shopName": "string",
        "identityCardNumber": "string",
        "warehouseAddress": "string",
        "reputationScore": "int"
      }
    ],
    "total": "int"
  }
}</t>
  </si>
  <si>
    <t>Validate webhook secret token</t>
  </si>
  <si>
    <t>ShipmentDelivered / ShipmentDeliveryFailed</t>
  </si>
  <si>
    <t>GHN Webhook</t>
  </si>
  <si>
    <t>401 (sai token)</t>
  </si>
  <si>
    <t>Idempotency theo (ShipmentId, ExternalEventId)- Map trạng thái vào 9 trạng thái chuẩn- Khi DELIVERED: phát event để Commerce chốt đơn- Khi RETURNED: hoàn kho nhập lại hàng</t>
  </si>
  <si>
    <t>- FUL-18</t>
  </si>
  <si>
    <t>GetShipments</t>
  </si>
  <si>
    <t>Lấy danh sách vận đơn theo bộ lọc</t>
  </si>
  <si>
    <t>orderId, status, trackingNumber (opt)- page, pageSize</t>
  </si>
  <si>
    <t>items (list shipment)- total</t>
  </si>
  <si>
    <t>Buyer, Seller, Admin, Staff</t>
  </si>
  <si>
    <t>401 (unauthorized)</t>
  </si>
  <si>
    <t>Buyer chỉ xem đơn của mình- Seller chỉ xem đơn của shop mình- Admin/Staff xem toàn bộ</t>
  </si>
  <si>
    <t>- FUL-19</t>
  </si>
  <si>
    <t>ADMIN-07</t>
  </si>
  <si>
    <t>GetShipmentDetails</t>
  </si>
  <si>
    <t>Xem chi tiết 1 kiện hàng vận chuyển</t>
  </si>
  <si>
    <t>id- orderId- carrier- trackingNumber- status- receiver, address, items</t>
  </si>
  <si>
    <t>404 (ko thấy)- 403 (ko có quyền xem đơn này)</t>
  </si>
  <si>
    <t>Ẩn bớt số điện thoại nếu ko đủ quyền</t>
  </si>
  <si>
    <t>- FUL-20</t>
  </si>
  <si>
    <t>GetShipmentTrackingTimeline</t>
  </si>
  <si>
    <t>Xem dòng thời gian lịch trình di chuyển GHN</t>
  </si>
  <si>
    <t>shipmentId- trackingNumber- events: [{status, description, occurredAt}]</t>
  </si>
  <si>
    <t>37B</t>
  </si>
  <si>
    <t>404 (ko tìm thấy)</t>
  </si>
  <si>
    <t>Sắp xếp theo occurredAt giảm dần</t>
  </si>
  <si>
    <t>/api/v1/admin/seller-registrations/{registrationId}</t>
  </si>
  <si>
    <t>- FUL-21</t>
  </si>
  <si>
    <t>RetryFailedShipmentCreation</t>
  </si>
  <si>
    <t>Admin bấm thử lại tạo vận đơn GHN bị lỗi</t>
  </si>
  <si>
    <t>message- status: PENDING_RETRY</t>
  </si>
  <si>
    <t>GHN API (tạo lại đơn)</t>
  </si>
  <si>
    <t>ShipmentCreated (nếu thành công)</t>
  </si>
  <si>
    <t>Admin</t>
  </si>
  <si>
    <t>404 (ko thấy)- 409 (đơn ko bị lỗi)</t>
  </si>
  <si>
    <t>Chỉ áp dụng cho đơn trạng thái CREATION_FAILED- Tối đa 3 lần retry theo SHIPPING_RETRY_LIMIT</t>
  </si>
  <si>
    <t>FUL-22</t>
  </si>
  <si>
    <t>Xem chi tiết hồ sơ mở Shop và tài liệu chứng từ định danh</t>
  </si>
  <si>
    <t>- id (path, ShipmentId)</t>
  </si>
  <si>
    <t>- message- status: PENDING_RETRY</t>
  </si>
  <si>
    <t>- id format uuid</t>
  </si>
  <si>
    <t>Headers: { "Authorization": "Bearer JWT" }
Path:
{
  "registrationId": "uuid"
}</t>
  </si>
  <si>
    <t>- 404 (ko thấy)- 409 (đơn ko bị lỗi)</t>
  </si>
  <si>
    <t>{
  "msg": "Lấy chi tiết hồ sơ mở Shop thành công",
  "data": {
    "registrationId": "uuid",
    "userId": "uuid",
    "shopName": "string",
    "hotline": "string",
    "pickupAddress": "string",
    "identityCardNumber": "string",
    "idCardFrontUrl": "string",
    "idCardBackUrl": "string",
    "businessLicenseUrl": "string",
    "reputationScore": "int",
    "status": "string",
    "submittedAt": "timestamp"
  }
}</t>
  </si>
  <si>
    <t>- Chỉ áp dụng cho đơn trạng thái CREATION_FAILED- Tối đa 3 lần retry theo SHIPPING_RETRY_LIMIT</t>
  </si>
  <si>
    <t>- [401] ERR_UNAUTHORIZED: Chưa đăng nhập
- [403] ERR_PERMISSION_DENIED: Không có quyền xem hồ sơ đăng ký
- [404] ERR_REGISTRATION_NOT_FOUND: Không tìm thấy hồ sơ đăng ký</t>
  </si>
  <si>
    <t>ADMIN-07B</t>
  </si>
  <si>
    <t>ConfirmShipmentReceived</t>
  </si>
  <si>
    <t>Buyer xác nhận đã nhận hàng, đối soát trạng thái với GHN</t>
  </si>
  <si>
    <t>id- status- deliveredAt</t>
  </si>
  <si>
    <t>GHN API (kiểm tra trạng thái đơn)</t>
  </si>
  <si>
    <t>ShipmentDelivered</t>
  </si>
  <si>
    <t>Buyer</t>
  </si>
  <si>
    <t>404 (ko thấy)- 403 (ko phải buyer của đơn)- 409 (GHN chưa DELIVERED hoặc đã hoàn thành)</t>
  </si>
  <si>
    <t>/api/v1/admin/seller-registrations/{registrationId}/approve</t>
  </si>
  <si>
    <t>Chỉ buyer của đơn được xác nhận- Đối soát GHN đúng DELIVERED mới đổi trạng thái- Idempotent nếu đã DELIVERED- Phát event để Commerce chốt đơn</t>
  </si>
  <si>
    <t>Staff duyệt hồ sơ Seller</t>
  </si>
  <si>
    <t>FUL-24</t>
  </si>
  <si>
    <t>Headers: { "Authorization": "Bearer JWT" }
Path: { "registrationId": "uuid" }
Body:
{
  "note": "string (optional)"
}</t>
  </si>
  <si>
    <t>HandleSubOrderRefunded_RestockInventory</t>
  </si>
  <si>
    <t>Nhận event hoàn suborder, cộng lại tồn kho cho seller</t>
  </si>
  <si>
    <t>messageId- subOrderId- items: [{skuId, quantity}]</t>
  </si>
  <si>
    <t>{
  "msg": "Hồ sơ mở Shop đã được phê duyệt. Người dùng đã trở thành Seller",
  "data": {
    "registrationId": "uuid",
    "userId": "uuid",
    "status": "APPROVED",
    "approvedAt": "timestamp"
  }
}</t>
  </si>
  <si>
    <t>subOrderId required- items ko rỗng, quantity &gt; 0</t>
  </si>
  <si>
    <t>InventoryRestocked</t>
  </si>
  <si>
    <t>Trùng messageId (bỏ qua)- 404 (SKU chưa khai kho)</t>
  </si>
  <si>
    <t>Idempotency theo (SUBORDER, subOrderId)- total += qty- Ghi Ledger RESTOCK kèm balanceAfter</t>
  </si>
  <si>
    <t>FUL-25</t>
  </si>
  <si>
    <t>HandleSubOrderRefunded_CancelShipment</t>
  </si>
  <si>
    <t>Nhận event hoàn suborder, huỷ vận đơn GHN để seller ko chuẩn bị hàng</t>
  </si>
  <si>
    <t>messageId- subOrderId- shipmentId (nếu có)</t>
  </si>
  <si>
    <t>subOrderId required</t>
  </si>
  <si>
    <t>GHN API (huỷ đơn)</t>
  </si>
  <si>
    <t>ShipmentCancelled</t>
  </si>
  <si>
    <t>Trùng messageId (bỏ qua)- GHN lỗi (đánh dấu CANCEL_FAILED để retry)- Đã bàn giao GHN (ko huỷ được)</t>
  </si>
  <si>
    <t>Chỉ huỷ khi chưa bàn giao cho GHN- Đổi status CANCELLED- Seller thấy trạng thái huỷ trong danh sách cần giao</t>
  </si>
  <si>
    <t>ADMIN-08</t>
  </si>
  <si>
    <t>CAT-01 (mở quyền đăng sản phẩm)</t>
  </si>
  <si>
    <t>CAT-43 (mở quyền tạo sản phẩm)</t>
  </si>
  <si>
    <t>NOTI-10 (gửi email chúc mừng)</t>
  </si>
  <si>
    <t>GHN API (tạo shop GHN)</t>
  </si>
  <si>
    <t>/api/v1/admin/seller-registrations/{registrationId}/reject</t>
  </si>
  <si>
    <t>Staff từ chối hồ sơ Seller</t>
  </si>
  <si>
    <t>Headers: { "Authorization": "Bearer JWT" }
Path: { "registrationId": "uuid" }
Body:
{
  "rejection_reason": "string (lý do cụ thể)"
}</t>
  </si>
  <si>
    <t>{
  "msg": "Đã từ chối hồ sơ mở Shop",
  "data": {
    "registrationId": "uuid",
    "status": "REJECTED",
    "rejectedAt": "timestamp",
    "rejectionReason": "string"
  }
}</t>
  </si>
  <si>
    <t xml:space="preserve"> </t>
  </si>
  <si>
    <t>ADMIN-09</t>
  </si>
  <si>
    <t>NOTI-10 (gửi email thông báo lý do từ chối)</t>
  </si>
  <si>
    <t>/api/v1/admin/reports</t>
  </si>
  <si>
    <t>Admin/Staff xem danh sách các đơn tố cáo tài khoản</t>
  </si>
  <si>
    <t>Headers: { "Authorization": "Bearer JWT" }
Query:
{
  "page": "int (default: 1)",
  "limit": "int (default: 20)",
  "status": "string (optional)",
  "violation_type": "string (optional)"
}</t>
  </si>
  <si>
    <t>{
  "msg": "Lấy danh sách đơn tố cáo thành công",
  "data": {
    "items": [
      {
        "id": "uuid",
        "reporterId": "uuid",
        "reportedUserId": "uuid",
        "violationType": "string",
        "description": "string",
        "evidenceUrls": "string[]",
        "status": "string",
        "createdAt": "timestamp"
      }
    ],
    "total": "int"
  }
}</t>
  </si>
  <si>
    <t>REPORT-02</t>
  </si>
  <si>
    <t>/api/v1/admin/reports/{reportId}/resolve</t>
  </si>
  <si>
    <t>Staff xử lý chấp thuận tố cáo &amp; áp dụng chế tài kỷ luật</t>
  </si>
  <si>
    <t>Headers: { "Authorization": "Bearer JWT" }
Path: { "reportId": "uuid" }
Body:
{
  "action": "string (\"DEDUCT_REPUTATION\" | \"BAN_USER\")",
  "points_deducted": "int (optional: 1..50)",
  "resolution_note": "string (&gt;= 10 ký tự)"
}</t>
  </si>
  <si>
    <t>{
  "msg": "Đã xử lý tố cáo thành công. Chế tài kỷ luật đã được áp dụng",
  "data": {
    "reportId": "uuid",
    "status": "RESOLVED",
    "resolvedAt": "timestamp"
  }
}</t>
  </si>
  <si>
    <t>REPORT-03</t>
  </si>
  <si>
    <t>REP-05 (trừ điểm uy tín nếu chọn DEDUCT_REPUTATION)</t>
  </si>
  <si>
    <t>ADMIN-05 (Nhánh BAN_USER)</t>
  </si>
  <si>
    <t>NOTI-10 (gửi kết quả 2 bên)</t>
  </si>
  <si>
    <t>41B</t>
  </si>
  <si>
    <t>/api/v1/admin/reports/{reportId}/dismiss</t>
  </si>
  <si>
    <t>Staff bác bỏ đơn tố cáo sai sự thật / không đủ chứng cứ</t>
  </si>
  <si>
    <t>Headers: { "Authorization": "Bearer JWT" }
Path: { "reportId": "uuid" }
Body:
{
  "reason": "string (lý do bác bỏ)"
}</t>
  </si>
  <si>
    <t>{
  "msg": "Đã bác bỏ đơn tố cáo",
  "data": {
    "reportId": "uuid",
    "status": "DISMISSED",
    "dismissedAt": "timestamp"
  }
}</t>
  </si>
  <si>
    <t>REPORT-04</t>
  </si>
  <si>
    <t>NOTI-10 (thông báo bác bỏ đơn tố cáo)</t>
  </si>
  <si>
    <t>/api/v1/admin/reviews/{id}/hide</t>
  </si>
  <si>
    <t>Staff/Admin ẩn đánh giá vi phạm tiêu chuẩn</t>
  </si>
  <si>
    <t>Headers: { "Authorization": "Bearer JWT" }
Path: { "id": "uuid" }
Body:
{
  "reason": "string (lý do ẩn vi phạm)"
}</t>
  </si>
  <si>
    <t>{
  "msg": "Đã ẩn đánh giá vi phạm thành công",
  "data": {
    "reviewId": "uuid",
    "isHidden": true
  }
}</t>
  </si>
  <si>
    <t>Permission/ Role</t>
  </si>
  <si>
    <t>REVIEW-04</t>
  </si>
  <si>
    <t>REP-04 (hoàn điểm)</t>
  </si>
  <si>
    <t>NOTI-10 (thông báo ẩn đánh giá vi phạm)</t>
  </si>
  <si>
    <t>/api/v1/admin/user</t>
  </si>
  <si>
    <t>Admin xem danh sách các user</t>
  </si>
  <si>
    <t>Headers: { "Authorization": "Bearer JWT" }
Query:
{
  "page": "int (default: 1)",
  "limit": "int (default: 20)",
  "keyword": "string (tìm tên, email, sđt)",
  "role": "string",
  "status": "string"
}</t>
  </si>
  <si>
    <t>{
  "msg": "Lấy danh sách người dùng thành công",
  "data": {
    "items": [
      {
        "id": "uuid",
        "email": "string",
        "firstName": "string",
        "lastName": "string",
        "phoneNumber": "string",
        "status": "string",
        "reputationScore": "int",
        "roles": "string[]"
      }
    ],
    "total": "int: 150"
  }
}</t>
  </si>
  <si>
    <t>RegisterBuyer</t>
  </si>
  <si>
    <t>Đăng ký tài khoản Người mua mới</t>
  </si>
  <si>
    <t>ADMIN-01</t>
  </si>
  <si>
    <t>Admin tạo user mới</t>
  </si>
  <si>
    <t>Headers: { "Authorization": "Bearer JWT" }
Body:
{
  "email": "string",
  "password": "string",
  "first_name": "string",
  "last_name": "string",
  "phone_number": "string",
  "roleCodes": [
    "STAFF"
  ]
}</t>
  </si>
  <si>
    <t>{
  "msg": "Tạo tài khoản thành công",
  "data": {
    "userId": "uuid",
    "email": "string",
    "roles": "string[]"
  }
}</t>
  </si>
  <si>
    <t>- email: format hợp lệ
- password: 8-32 ký tự, &gt;= 1 hoa, &gt;= 1 thường, &gt;= 1 số, &gt;= 1 ký tự đặc biệt
- username: optional, 3-100 ký tự, chữ/số/dấu gạch dưới, không trùng lặp
- first_name: 1-100 ký tự
- last_name: 1-100 ký tự
- phone_number: đúng định dạng Việt Nam</t>
  </si>
  <si>
    <t>yes
(RabbitMQ: Bắn event để Notification Service gửi email OTP)</t>
  </si>
  <si>
    <t>UserRegistered</t>
  </si>
  <si>
    <t>Public / Guest</t>
  </si>
  <si>
    <t>1. Mật khẩu mã hóa chuẩn BCrypt trước khi lưu.
2. Trạng thái khởi tạo status = PENDING_VERIFICATION.
3. Gán Role mặc định BUYER.
4. Điểm uy tín khởi tạo reputation_score = 50.
5. Sinh mã OTP 6 chữ số ngẫu nhiên lưu Redis với TTL 5 phút.
6. Nếu client truyền username: kiểm tra tính duy nhất trong bảng users; nếu không truyền thì lưu NULL.</t>
  </si>
  <si>
    <t>ADMIN-01B</t>
  </si>
  <si>
    <t>WAL-01 (tạo ví tiền 0 đồng)</t>
  </si>
  <si>
    <t>VerifyOtp</t>
  </si>
  <si>
    <t>NOTI-10 (gửi email tài khoản &amp; mật khẩu)</t>
  </si>
  <si>
    <t>Xác thực OTP kích hoạt tài khoản</t>
  </si>
  <si>
    <t>- email: required
- otp_code: required, đúng 6 chữ số</t>
  </si>
  <si>
    <t>UserOtpVerified</t>
  </si>
  <si>
    <t>- 400 Bad Request: ERR_OTP_INVALID: Mã OTP không chính xác
- 400 Bad Request: ERR_OTP_EXPIRED: Mã OTP đã hết hạn
- 404 Not Found: ERR_USER_NOT_FOUND: Tài khoản không tồn tại
- 409 Conflict: ERR_ACCOUNT_ALREADY_ACTIVE: Tài khoản đã kích hoạt trước đó
- 429 Too Many Requests: ERR_MAX_OTP_ATTEMPTS: Đã nhập sai quá 5 lần</t>
  </si>
  <si>
    <t>1. Giới hạn tối đa 5 lần nhập sai; vượt quá 5 lần hủy mã OTP, bắt buộc yêu cầu gửi lại.
2. Sau khi xác thực đúng: đổi status = ACTIVE, cập nhật email_verified_at = NOW().
3. Xóa cache OTP trong Redis ngay sau khi verify thành công.</t>
  </si>
  <si>
    <t>/api/v1/admin/user/{userId}</t>
  </si>
  <si>
    <t>Xem chi tiết hồ sơ cá nhân, phân quyền &amp; uy tín</t>
  </si>
  <si>
    <t>Headers: { "Authorization": "Bearer JWT" }
Path:
{
  "userId": "uuid"
}</t>
  </si>
  <si>
    <t>ResendOtp</t>
  </si>
  <si>
    <t>Gửi lại mã xác thực OTP</t>
  </si>
  <si>
    <t>{
  "msg": "Lấy chi tiết người dùng thành công",
  "data": {
    "id": "uuid",
    "email": "string",
    "firstName": "string",
    "lastName": "string",
    "phoneNumber": "string",
    "status": "string",
    "reputationScore": "int",
    "trustLevel": "string",
    "roles": "string[]",
    "permissions": "string[]",
    "sellerProfile": "object",
    "createdAt": "timestamp",
    "auditHistory": "object[]"
  }
}</t>
  </si>
  <si>
    <t>- email: required, valid format
- type: thuộc ["REGISTER", "FORGOT_PASSWORD"]</t>
  </si>
  <si>
    <t>yes
(Notification Service: Gửi email OTP qua Queue)</t>
  </si>
  <si>
    <t>OtpResent</t>
  </si>
  <si>
    <t>- 429 Too Many Requests: ERR_OTP_COOLDOWN: Vui lòng đợi 60 giây trước khi yêu cầu lại
- 429 Too Many Requests: ERR_MAX_DAILY_OTP: Đã vượt quá 10 lần gửi OTP trong ngày</t>
  </si>
  <si>
    <t>1. Không để lộ thông tin tài khoản: Dù email có tồn tại hay không trong CSDL, hệ thống vẫn trả về cùng 1 message chung để tránh User Enumeration Attack.
2. Cooldown bắt buộc: Mỗi lần gửi cách nhau tối thiểu 60 giây (lưu Redis TTL 60s).
3. Mã OTP cũ bị vô hiệu hóa ngay lập tức khi mã mới được sinh.
4. Tối đa 10 lần yêu cầu OTP/ngày/user để chống spam Email.</t>
  </si>
  <si>
    <t>Login</t>
  </si>
  <si>
    <t>ADMIN-02</t>
  </si>
  <si>
    <t>- identifier: required (email hoặc username)
- password: required</t>
  </si>
  <si>
    <t>UserLoggedIn</t>
  </si>
  <si>
    <t>- 401 Unauthorized: ERR_INVALID_CREDENTIALS: Sai tài khoản hoặc mật khẩu
- 403 Forbidden: ERR_ACCOUNT_NOT_VERIFIED: Tài khoản chưa kích hoạt OTP
- 403 Forbidden: ERR_ACCOUNT_BANNED: Tài khoản đã bị khóa bởi quản trị viên
- 423 Locked: ERR_ACCOUNT_LOCKED_TEMPORARY: Khóa tạm thời 30 phút do đăng nhập sai 5 lần</t>
  </si>
  <si>
    <t>1. Cho phép đăng nhập bằng email hoặc username (tìm kiếm user theo email = identifier HOẶC username = identifier).
2. Rate Limit bảo mật: Nhập sai mật khẩu liên tiếp 5 lần Khóa tạm thời 30 phút qua Redis.
3. Access Token định dạng JWT (HMAC-SHA256), thời hạn 60 phút, nhúng đầy đủ Claims (sub, email, username, roles, permissions).
4. Sinh Refresh Token ngẫu nhiên (Cryptographic Random 64 bytes), TTL 30 ngày, lưu vào bảng user_sessions.
5. Reset bộ đếm số lần sai về 0 khi đăng nhập thành công.</t>
  </si>
  <si>
    <t>RefreshToken</t>
  </si>
  <si>
    <t>Admin cập nhật thông tin của user cụ thể</t>
  </si>
  <si>
    <t>Headers: { "Authorization": "Bearer JWT" }
Path: { "userId": "uuid" }
Body:
{
  "first_name": "string",
  "last_name": "string",
  "phone_number": "string",
  "status": "string",
  "reason": "string (lý do sửa)"
}</t>
  </si>
  <si>
    <t>- refresh_token: required</t>
  </si>
  <si>
    <t>TokenRefreshed</t>
  </si>
  <si>
    <t>{
  "msg": "Cập nhật thông tin người dùng thành công",
  "data": {
    "id": "uuid",
    "firstName": "string",
    "lastName": "string",
    "status": "string",
    "updatedBy": "uuid",
    "updatedAt": "timestamp"
  }
}</t>
  </si>
  <si>
    <t>Public / Authenticated</t>
  </si>
  <si>
    <t>- 401 Unauthorized: ERR_INVALID_TOKEN: Token không hợp lệ hoặc đã hết hạn
- 401 Unauthorized: ERR_TOKEN_REUSED: Phát hiện hành vi chiếm đoạt token (Token Reuse Attack)
- 401 Unauthorized: ERR_SESSION_REVOKED: Phiên đăng nhập đã bị hủy</t>
  </si>
  <si>
    <t>1. Cơ chế RTR (Refresh Token Rotation): Mỗi Refresh Token chỉ được dùng đúng 1 lần.
2. Khi dùng xong: Thu hồi Token cũ, phát hành 1 Refresh Token mới toanh.
3. Phát hiện Token Reuse: Nếu 1 token đã bị thu hồi mà lại được gửi lên Cảnh báo bảo mật: Thu hồi TOÀN BỘ phiên đăng nhập của User đó trên mọi thiết bị.</t>
  </si>
  <si>
    <t>ForgotPassword</t>
  </si>
  <si>
    <t>- email: required, valid email</t>
  </si>
  <si>
    <t>yes
(Notification Service: gửi email OTP reset)</t>
  </si>
  <si>
    <t>PasswordResetRequested</t>
  </si>
  <si>
    <t>- 429 Too Many Requests: ERR_RATE_LIMIT_EXCEEDED: Quá nhiều yêu cầu, vui lòng thử lại sau</t>
  </si>
  <si>
    <t>ADMIN-03</t>
  </si>
  <si>
    <t>1. Không để lộ thông tin tài khoản: Dù email có tồn tại hay không trong CSDL, hệ thống vẫn trả về cùng 1 message chung để tránh User Enumeration Attack.
2. Nếu email có trong DB: Sinh OTP đặt lại mật khẩu TTL 10 phút, lưu Redis/DB.</t>
  </si>
  <si>
    <t>ResetPassword</t>
  </si>
  <si>
    <t>- otp_code: 6 digits
- new_password:8-32 ký tự, &gt;= 1 hoa, &gt;= 1 thường, &gt;= 1 số, &gt;= 1 ký tự đặc biệt
- confirm_password: phải trùng new_password</t>
  </si>
  <si>
    <t>PasswordResetCompleted</t>
  </si>
  <si>
    <t>- 400 Bad Request: ERR_OTP_INVALID_OR_EXPIRED: Mã OTP không hợp lệ hoặc đã hết hạn
- 400 Bad Request: ERR_PASSWORD_SAME_AS_OLD: Mật khẩu mới không được trùng với mật khẩu gần nhất</t>
  </si>
  <si>
    <t>Xóa MỀM 1 user khỏi hệ thống</t>
  </si>
  <si>
    <t>1. Kiểm tra mã OTP hợp lệ.
2. Băm mật khẩu mới bằng BCrypt.
3. Hủy bỏ mã OTP vừa dùng.
4. Thu hồi TOÀN BỘ Refresh Token / Sessions đang hoạt động của tài khoản để cưỡng chế đăng nhập lại trên mọi thiết bị.</t>
  </si>
  <si>
    <t>Headers: { "Authorization": "Bearer JWT" }
Path: { "userId": "uuid" }
Body:
{
  "reason": "string (lý do xóa)"
}</t>
  </si>
  <si>
    <t>{
  "msg": "Tài khoản người dùng đã được xóa mềm thành công",
  "data": {
    "id": "uuid",
    "isDeleted": true,
    "deletedAt": "timestamp"
  }
}</t>
  </si>
  <si>
    <t>ChangePassword</t>
  </si>
  <si>
    <t>Đổi mật khẩu chủ động trong phiên</t>
  </si>
  <si>
    <t>- old_password: required
- new_password:8-32 ký tự, &gt;= 1 hoa, &gt;= 1 thường, &gt;= 1 số, &gt;= 1 ký tự đặc biệt, khác old_password
- confirm_password: khớp new_password</t>
  </si>
  <si>
    <t>PasswordChanged</t>
  </si>
  <si>
    <t>Authenticated (All)</t>
  </si>
  <si>
    <t>- 400 Bad Request: ERR_WRONG_OLD_PASSWORD: Mật khẩu hiện tại không chính xác
- 400 Bad Request: ERR_SAME_PASSWORD: Mật khẩu mới không được trùng mật khẩu cũ</t>
  </si>
  <si>
    <t>1. Xác thực mật khẩu cũ khớp với mã hash trong DB.
2. Cập nhật mật khẩu mới (BCrypt).
3. Thu hồi tất cả các sessions khác (ngoại trừ session hiện tại) để đảm bảo an toàn.</t>
  </si>
  <si>
    <t>Logout</t>
  </si>
  <si>
    <t>ADMIN-04</t>
  </si>
  <si>
    <t>CART-11 (dọn giỏ hàng)</t>
  </si>
  <si>
    <t>AUC-33 (hủy các phiên đấu giá treo)</t>
  </si>
  <si>
    <t>UserLoggedOut</t>
  </si>
  <si>
    <t>- 404 Not Found: ERR_SESSION_NOT_FOUND: Phiên làm việc không tồn tại</t>
  </si>
  <si>
    <t>CAT-42 (ẩn toàn bộ sản phẩm của user)</t>
  </si>
  <si>
    <t>1. Đánh dấu revoked = true cho session tương ứng trong bảng user_sessions.
2. Xóa session cache trong Redis.
3. Đưa JTI của Access Token vào Redis Blacklist với TTL bằng thời gian sống còn lại của token (tối đa 60 phút).</t>
  </si>
  <si>
    <t>GetMyProfile</t>
  </si>
  <si>
    <t>Xem thông tin hồ sơ của chính mình</t>
  </si>
  <si>
    <t>/api/v1/admin/user/{userId}/ban</t>
  </si>
  <si>
    <t>- JWT valid &amp; not expired</t>
  </si>
  <si>
    <t>Admin ban 1 user</t>
  </si>
  <si>
    <t>None</t>
  </si>
  <si>
    <t>- 401 Unauthorized: ERR_UNAUTHORIZED: Chưa đăng nhập hoặc token hết hạn
- 404 Not Found: ERR_USER_NOT_FOUND: Người dùng không tồn tại</t>
  </si>
  <si>
    <t>Headers: { "Authorization": "Bearer JWT" }
Path: { "userId": "uuid" }
Body:
{
  "reason": "string (lý do khóa)",
  "ban_duration_days": "int (0 = vĩnh viễn)"
}</t>
  </si>
  <si>
    <t>1. Trích xuất userId trực tiếp từ JWT Claim sub.
2. Không cho phép truyền userId qua param để tránh IDOR.
3. Gồm thông tin hồ sơ (firstName, lastName). Kèm thông tin phân hạng Trust Level (EXCELLENT, GOOD, STANDARD, PROBATION, UNTRUSTED).</t>
  </si>
  <si>
    <t>{
  "msg": "Đã khóa tài khoản người dùng thành công",
  "data": {
    "id": "uuid",
    "status": "BANNED",
    "bannedUntil": "timestamp",
    "reason": "string"
  }
}</t>
  </si>
  <si>
    <t>UpdateMyProfile</t>
  </si>
  <si>
    <t>- username: optional, 3-100 ký tự, chữ/số/dấu gạch dưới, không trùng lặp
- first_name: 1-100 ký tự
- last_name: 1-100 ký tự
- phone_number: regex format VN
- address: các trường địa giới hành chính hợp lệ</t>
  </si>
  <si>
    <t>UserProfileUpdated</t>
  </si>
  <si>
    <t>1. Người dùng được sửa: Username, Họ đệm (last_name), Tên (first_name), Số điện thoại, Địa chỉ nhận hàng (Avatar cập nhật qua API upload riêng USER-06).
2. KHÔNG ĐƯỢC sửa: Email (phải qua luồng xác thực riêng USER-10/11), Điểm uy tín, Roles.
3. Kiểm tra tính duy nhất của Username và SĐT nếu có thay đổi.</t>
  </si>
  <si>
    <t>ADMIN-05</t>
  </si>
  <si>
    <t>NOTI-10 (gửi mail báo khóa)</t>
  </si>
  <si>
    <t>GetActiveSessions</t>
  </si>
  <si>
    <t>AUC-33 (chặn đặt giá &amp; hủy phiên đang mở)</t>
  </si>
  <si>
    <t>CAT-42 (ẩn/khóa toàn bộ sản phẩm của user)</t>
  </si>
  <si>
    <t>- JWT valid</t>
  </si>
  <si>
    <t>- 401 Unauthorized: ERR_UNAUTHORIZED: Chưa đăng nhập</t>
  </si>
  <si>
    <t>1. Truy vấn các sessions từ bảng user_sessions thỏa mãn revoked = false và expires_at &gt; NOW().
2. Đánh dấu isCurrent = true cho session khớp với token của request hiện tại.</t>
  </si>
  <si>
    <t>/api/v1/admin/user/{userId}/unban</t>
  </si>
  <si>
    <t>Admin hủy ban 1 user</t>
  </si>
  <si>
    <t>RevokeSession</t>
  </si>
  <si>
    <t>Headers: { "Authorization": "Bearer JWT" }
Path: { "userId": "uuid" }
Body:
{
  "reason": "string (lý do mở khóa)"
}</t>
  </si>
  <si>
    <t>{
  "msg": "Đã mở khóa tài khoản người dùng thành công",
  "data": {
    "id": "uuid",
    "status": "ACTIVE",
    "unbannedAt": "timestamp"
  }
}</t>
  </si>
  <si>
    <t>- session_id: valid UUID</t>
  </si>
  <si>
    <t>SessionRevoked</t>
  </si>
  <si>
    <t>- 403 Forbidden: ERR_FORBIDDEN: Không có quyền can thiệp phiên của người khác
- 404 Not Found: ERR_SESSION_NOT_FOUND: Phiên làm việc không tồn tại</t>
  </si>
  <si>
    <t>1. Kiểm tra session thuộc quyền sở hữu của chính User đang gọi.
2. Cập nhật revoked = true trong CSDL.
3. Xóa token session tương ứng trong Redis cache.</t>
  </si>
  <si>
    <t>RevokeAllOtherSessions</t>
  </si>
  <si>
    <t>Đăng xuất khỏi toàn bộ các thiết bị khác</t>
  </si>
  <si>
    <t>AllOtherSessionsRevoked</t>
  </si>
  <si>
    <t>ADMIN-06</t>
  </si>
  <si>
    <t>1. Cập nhật revoked = true cho toàn bộ các sessions của user NGOẠI TRỪ session hiện tại.
2. Cập nhật danh sách Blacklist Token trên Redis cho các phiên bị thu hồi.</t>
  </si>
  <si>
    <t>NOTI-10 (thông báo tài khoản hoạt động lại)</t>
  </si>
  <si>
    <t>UploadMyAvatar</t>
  </si>
  <si>
    <t>Tải lên và cập nhật ảnh đại diện người dùng</t>
  </si>
  <si>
    <t>/api/v1/admin/sellers/{sellerId}</t>
  </si>
  <si>
    <t>Admin lấy thông tin cửa hàng của từng Seller</t>
  </si>
  <si>
    <t>- file: required, định dạng jpg/png/webp, kích thước &lt;= 5MB</t>
  </si>
  <si>
    <t>Headers: { "Authorization": "Bearer JWT" }
Path:
{
  "sellerId": "uuid"
}</t>
  </si>
  <si>
    <t>yes
(Storage/CDN Service: Upload file lên Cloud Storage S3/GCS/MinIO)</t>
  </si>
  <si>
    <t>UserAvatarUpdated</t>
  </si>
  <si>
    <t>{
  "msg": "Lấy chi tiết Shop thành công",
  "data": {
    "sellerId": "uuid",
    "shopName": "string",
    "ownerUserId": "uuid",
    "identityCardNumber": "string",
    "pickupAddress": "string",
    "status": "string",
    "auditHistory": "object[]"
  }
}</t>
  </si>
  <si>
    <t>- 400 Bad Request: ERR_INVALID_FILE_TYPE: Định dạng file không được hỗ trợ (chỉ nhận JPG, PNG, WEBP)
- 413 Payload Too Large: ERR_FILE_TOO_LARGE: Dung lượng file vượt quá 5MB
- 500 Internal Server Error: ERR_STORAGE_UPLOAD_FAILED: Lỗi hệ thống khi lưu trữ file</t>
  </si>
  <si>
    <t>1. Xác thực tính hợp lệ của file (MIME type thực tế từ magic bytes, không chỉ dựa vào file extension).
2. Xử lý tối ưu kích thước/resize ảnh đại diện (vd: chuẩn hóa 500x500 px) trước khi upload Cloud Storage.
3. Cập nhật avatar_url mới vào bảng users và xóa/thu hồi ảnh đại diện cũ trên Storage để giải phóng dung lượng.</t>
  </si>
  <si>
    <t>GetMyAvatar</t>
  </si>
  <si>
    <t>Xem ảnh avatar của chính mình</t>
  </si>
  <si>
    <t>SELLER-09</t>
  </si>
  <si>
    <t>1. Trích xuất userId trực tiếp từ JWT Claim sub.
2. Không cho phép truyền userId qua param để tránh IDOR.
3. Trả về avatarUrl của tài khoản người dùng hiện tại.</t>
  </si>
  <si>
    <t>GetUserPublicProfile</t>
  </si>
  <si>
    <t>Xem hồ sơ công khai của một người dùng bất kỳ</t>
  </si>
  <si>
    <t>- id: valid UUID</t>
  </si>
  <si>
    <t>Public / All</t>
  </si>
  <si>
    <t>- 400 Bad Request: ERR_USER_INACTIVE: Tài khoản không ở trạng thái hoạt động hoặc đã bị xóa
- 404 Not Found: ERR_USER_NOT_FOUND: Người dùng không tồn tại</t>
  </si>
  <si>
    <t>/api/v1/admin/user/{userId}/roles</t>
  </si>
  <si>
    <t>Gán / Thu hồi vai trò nội bộ (Phân quyền SoD)</t>
  </si>
  <si>
    <t>1. Tuyệt đối không để lộ thông tin nhạy cảm (email, số điện thoại, địa chỉ chi tiết, balance, sessions).
2. Chỉ hiển thị người dùng có trạng thái status = ACTIVE và is_deleted = false.
3. Cache dữ liệu hồ sơ công khai trên Redis (TTL 10 phút) để tối ưu hiệu năng truy vấn.</t>
  </si>
  <si>
    <t>GetUserAvatar</t>
  </si>
  <si>
    <t>Xem ảnh avatar của một user bất kỳ</t>
  </si>
  <si>
    <t>Headers: { "Authorization": "Bearer JWT" }
Path: { "userId": "uuid" }
Body:
{
  "role_codes": [
    "STAFF"
  ],
  "role_ids": [
    1
  ],
  "reason": "string"
}</t>
  </si>
  <si>
    <t>{
  "msg": "Cập nhật vai trò người dùng thành công",
  "data": {
    "userId": "uuid",
    "roles": [
      "STAFF"
    ],
    "updatedBy": "uuid"
  }
}</t>
  </si>
  <si>
    <t>- 404 Not Found: ERR_USER_NOT_FOUND: Người dùng không tồn tại</t>
  </si>
  <si>
    <t>1. Xem công khai avatar phục vụ hiển thị danh sách đấu giá, bình luận mà không cần tải toàn bộ hồ sơ.</t>
  </si>
  <si>
    <t>GetMyReputation</t>
  </si>
  <si>
    <t>Xem chi tiết điểm uy tín và phân hạng của bản thân</t>
  </si>
  <si>
    <t>ADMIN-10</t>
  </si>
  <si>
    <t>- 401 Unauthorized: ERR_UNAUTHORIZED: Chưa đăng nhập hoặc token không hợp lệ
- 404 Not Found: ERR_USER_NOT_FOUND: Không tìm thấy thông tin tài khoản</t>
  </si>
  <si>
    <t>1. Trích xuất userId trực tiếp từ JWT Claim sub.
2. Phân hạng Trust Level: EXCELLENT (90-100), GOOD (70-89), STANDARD (50-69), PROBATION (40-49), UNTRUSTED (0-39).
3. Đánh dấu cờ nghiệp vụ: canBid = (reputationScore &gt;= 40), canSell = (reputationScore &gt;= 50).</t>
  </si>
  <si>
    <t>GetMyPenalties</t>
  </si>
  <si>
    <t>Xem danh sách các cảnh cáo và biên bản vi phạm của bản thân</t>
  </si>
  <si>
    <t>/api/v1/admin/user/{userId}/reputation</t>
  </si>
  <si>
    <t>- page &gt;= 1
- limit trong khoảng [1..100]</t>
  </si>
  <si>
    <t>Admin điều chỉnh uy tín của user(thủ công)</t>
  </si>
  <si>
    <t>Headers: { "Authorization": "Bearer JWT" }
Path: { "userId": "uuid" }
Body:
{
  "delta": "int ([-50..+50])",
  "reason": "string (&gt;= 10 ký tự)"
}</t>
  </si>
  <si>
    <t>- 401 Unauthorized: ERR_UNAUTHORIZED: Chưa đăng nhập hoặc phiên hết hạn</t>
  </si>
  <si>
    <t>{
  "msg": "Điều chỉnh điểm uy tín người dùng thành công",
  "data": {
    "userId": "uuid",
    "previousScore": "int",
    "newScore": "int",
    "delta": "int",
    "trustLevel": "string"
  }
}</t>
  </si>
  <si>
    <t>1. Chỉ cho phép truy xuất các biên bản vi phạm và ghi nhận phạt thuộc quyền sở hữu của chính tài khoản yêu cầu.
2. Hiển thị rõ lý do phạt, mức trừ điểm uy tín (nếu có), trạng thái hiệu lực của án phạt và thời điểm gỡ bỏ (nếu áp dụng tạm thời).</t>
  </si>
  <si>
    <t>USER-10</t>
  </si>
  <si>
    <t>RequestEmailChange</t>
  </si>
  <si>
    <t>Yêu cầu đổi địa chỉ email &amp; gửi OTP xác thực đến email mới</t>
  </si>
  <si>
    <t>ADMIN-14</t>
  </si>
  <si>
    <t>NOTI-10 (thông báo biến động uy tín)</t>
  </si>
  <si>
    <t>GRPC-01 (đồng bộ quyền đấu giá sang Auction)</t>
  </si>
  <si>
    <t>GRPC-04 (cập nhật cache quyền BID/SELL)</t>
  </si>
  <si>
    <t>Headers: { "Authorization": "Bearer JWT" }
Body:
{
  "new_email": "string",
  "password": "string (mật khẩu xác nhận)"
}</t>
  </si>
  <si>
    <t>{
  "msg": "Mã OTP xác thực đã được gửi tới địa chỉ email mới. Vui lòng xác thực trong 5 phút",
  "data": {
    "newEmail": "string",
    "otpExpiresIn": "int: 300",
    "resendCooldown": "int: 60"
  }
}</t>
  </si>
  <si>
    <t>/api/v1/admin/roles</t>
  </si>
  <si>
    <t>- new_email: required, email format hợp lệ, khác email hiện tại
- password: required</t>
  </si>
  <si>
    <t>Admin xem toàn bộ roles trong hệ thống</t>
  </si>
  <si>
    <t>yes
(Notification Service: Bắn event gửi OTP qua email mới)</t>
  </si>
  <si>
    <t>EmailChangeRequested</t>
  </si>
  <si>
    <t>{
  "msg": "Lấy danh mục vai trò thành công",
  "data": [
    {
      "roleId": "int",
      "roleName": "string",
      "description": "string",
      "isSystemRole": "boolean",
      "permissionsCount": "int"
    }
  ]
}</t>
  </si>
  <si>
    <t>- 400 Bad Request: ERR_WRONG_PASSWORD: Mật khẩu xác nhận không chính xác
- 400 Bad Request: ERR_SAME_EMAIL: Email mới phải khác địa chỉ email hiện tại
- 409 Conflict: ERR_EMAIL_ALREADY_EXISTS: Email mới đã được liên kết với tài khoản khác
- 429 Too Many Requests: ERR_OTP_COOLDOWN: Vui lòng đợi 60 giây trước khi yêu cầu lại</t>
  </si>
  <si>
    <t>1. Bắt buộc nhập mật khẩu hiện tại để xác thực chủ tài khoản trước khi cấp phép yêu cầu đổi email.
2. Kiểm tra tính duy nhất của new_email trên toàn hệ thống (không trùng lặp với bất kỳ user nào).
3. Sinh mã OTP 6 chữ số lưu tạm vào Redis kèm metadata (userId, newEmail) với TTL 5 phút, cooldown gửi lại 60 giây. Không thay đổi email trong DB cho đến khi xác thực thành công.</t>
  </si>
  <si>
    <t>USER-11</t>
  </si>
  <si>
    <t>VerifyEmailChange</t>
  </si>
  <si>
    <t>Xác thực OTP và hoàn tất cập nhật địa chỉ email mới</t>
  </si>
  <si>
    <t>Headers: { "Authorization": "Bearer JWT" }
Body:
{
  "new_email": "string",
  "otp_code": "string (6 digits)"
}</t>
  </si>
  <si>
    <t>{
  "msg": "Cập nhật địa chỉ email mới thành công. Vui lòng đăng nhập lại trên tất cả thiết bị",
  "data": {
    "userId": "uuid",
    "email": "string",
    "updatedAt": "timestamp"
  }
}</t>
  </si>
  <si>
    <t>- new_email: required, valid email
- otp_code: required, đúng 6 chữ số</t>
  </si>
  <si>
    <t>ADMIN-16</t>
  </si>
  <si>
    <t>yes
(Notification Service: Gửi email thông báo bảo mật đến cả email cũ và email mới)</t>
  </si>
  <si>
    <t>UserEmailChanged</t>
  </si>
  <si>
    <t>- 400 Bad Request: ERR_OTP_INVALID_OR_EXPIRED: Mã OTP không hợp lệ hoặc đã hết hạn
- 409 Conflict: ERR_EMAIL_ALREADY_TAKEN: Email đã bị người khác đăng ký trong thời gian chờ
- 429 Too Many Requests: ERR_MAX_OTP_ATTEMPTS: Đã nhập sai mã OTP quá 5 lần</t>
  </si>
  <si>
    <t>1. Giới hạn tối đa 5 lần thử mã OTP sai; vượt quá 5 lần hủy yêu cầu đổi email ngay lập tức.
2. Sau khi xác thực đúng: Cập nhật email = new_email trong bảng users, ghi nhận email_verified_at = NOW().
3. Thu hồi TOÀN BỘ phiên đăng nhập (sessions) và Tokens hiện tại trên mọi thiết bị để buộc user xác thực đăng nhập lại bằng email mới.
4. Gửi email cảnh báo bảo mật đến địa chỉ email cũ để thông báo sự thay đổi.</t>
  </si>
  <si>
    <t>SubmitSellerOnboarding</t>
  </si>
  <si>
    <t>Đăng ký mở Gian hàng Shop (Seller) &amp; Thiết lập Kho GHN</t>
  </si>
  <si>
    <t>/api/v1/admin/permissions</t>
  </si>
  <si>
    <t>Xem danh sách các đặc quyền</t>
  </si>
  <si>
    <t>{
  "msg": "Lấy danh mục đặc quyền thành công",
  "data": [
    {
      "permissionId": "int",
      "permissionCode": "string",
      "module": "string",
      "description": "string"
    }
  ]
}</t>
  </si>
  <si>
    <t>- shopName: 3-50 ký tự
- identityCardNumber: đúng 9 hoặc 12 số CCCD
- warehouseAddress: đủ 4 cấp hành chính GHN</t>
  </si>
  <si>
    <t>yes (GHN API: Check mã bưu cục/kho hàng GHN)</t>
  </si>
  <si>
    <t>SellerOnboardingSubmitted</t>
  </si>
  <si>
    <t>Buyer (User active)</t>
  </si>
  <si>
    <t>- [400] ERR_GHN_WAREHOUSE_INVALID: Địa chỉ kho GHN không hợp lệ
- [400] ERR_REPUTATION_TOO_LOW: Điểm uy tín chưa đạt yêu cầu mở Shop (&gt;= 50)
- [401] ERR_UNAUTHORIZED: Chưa đăng nhập
- [409] ERR_SHOP_NAME_TAKEN: Tên gian hàng đã tồn tại
- [409] ERR_REQUEST_ALREADY_PENDING: Đã có hồ sơ đang chờ xét duyệt
- [409] ERR_ALREADY_SELLER: Người dùng đã là người bán (Seller)</t>
  </si>
  <si>
    <t>1. Điều kiện tiên quyết: status = ACTIVE và reputation_score &gt;= 50 (rào chắn điểm uy tín).  
2. Tên Shop không được trùng lặp.  
3. Tạo bản ghi trạng thái PENDING_APPROVAL.</t>
  </si>
  <si>
    <t>ResendSellerOtp</t>
  </si>
  <si>
    <t>Gửi lại OTP xác thực email mở Shop (business_email)</t>
  </si>
  <si>
    <t>- registrationId: valid UUID
- businessEmail: valid email nếu cung cấp</t>
  </si>
  <si>
    <t>ADMIN-16B</t>
  </si>
  <si>
    <t>yes (Notification Service: Gửi OTP qua email)</t>
  </si>
  <si>
    <t>SellerOtpResent</t>
  </si>
  <si>
    <t>- [401] ERR_UNAUTHORIZED: Chưa đăng nhập
- [404] ERR_REGISTRATION_NOT_FOUND: Không tìm thấy hồ sơ đăng ký
- [429] ERR_OTP_COOLDOWN: Vui lòng đợi 60s trước khi yêu cầu gửi lại OTP</t>
  </si>
  <si>
    <t>1. Cooldown 60s giữa các lần gửi lại OTP xác thực mở Shop.  
2. OTP được gửi tới địa chỉ business_email đã đăng ký.</t>
  </si>
  <si>
    <t>UploadSellerDocuments</t>
  </si>
  <si>
    <t>Upload tài liệu định danh Seller (CCCD, GPKD)</t>
  </si>
  <si>
    <t>/api/v1/admin/roles/{roleId}/permissions</t>
  </si>
  <si>
    <t>Cập nhật danh sách đặc quyền (Permissions) cho Vai trò</t>
  </si>
  <si>
    <t>- registrationId: valid UUID
- frontCccd, backCccd: required, max 5MB</t>
  </si>
  <si>
    <t>Headers: { "Authorization": "Bearer JWT" }
Path: { "roleId": "int" }
Body:
{
  "description": "string",
  "permission_ids": "int[]"
}</t>
  </si>
  <si>
    <t>yes (Storage/CDN Service: Upload file lên Cloud Storage S3/GCS/MinIO)</t>
  </si>
  <si>
    <t>SellerDocumentsUploaded</t>
  </si>
  <si>
    <t>{
  "msg": "Cập nhật quyền hạn vai trò thành công",
  "data": {
    "roleId": "int",
    "updatedPermissionsCount": "int"
  }
}</t>
  </si>
  <si>
    <t>- [400] ERR_INVALID_FILE_TYPE: Định dạng tài liệu không hợp lệ (JPG, PNG, PDF)
- [401] ERR_UNAUTHORIZED: Chưa đăng nhập
- [404] ERR_REGISTRATION_NOT_FOUND: Không tìm thấy hồ sơ đăng ký</t>
  </si>
  <si>
    <t>1. Lưu trữ file chứng từ định danh vào CDN/S3 bucket an toàn.  
2. Cập nhật danh sách URL tài liệu vào hồ sơ đăng ký.</t>
  </si>
  <si>
    <t>VerifySellerOtp</t>
  </si>
  <si>
    <t>Xác thực mã OTP của Seller</t>
  </si>
  <si>
    <t>- registrationId: valid UUID
- otpCode: 6 digits</t>
  </si>
  <si>
    <t>SellerOtpVerified</t>
  </si>
  <si>
    <t>- [400] ERR_OTP_INVALID: Mã OTP không chính xác
- [400] ERR_OTP_EXPIRED: Mã OTP đã hết hạn
- [401] ERR_UNAUTHORIZED: Chưa đăng nhập
- [404] ERR_REGISTRATION_NOT_FOUND: Không tìm thấy hồ sơ đăng ký</t>
  </si>
  <si>
    <t>ADMIN-18</t>
  </si>
  <si>
    <t>1. Xác thực đúng mã OTP Chuyển hồ sơ sang trạng thái PENDING_APPROVAL.  
2. Đưa hồ sơ vào hàng đợi chờ Staff thẩm định trong 24h.</t>
  </si>
  <si>
    <t>GetSellerRegistrationStatus</t>
  </si>
  <si>
    <t>Seller tự xem trạng thái đơn duyệt làm Shop</t>
  </si>
  <si>
    <t>- [401] ERR_UNAUTHORIZED: Chưa đăng nhập hoặc token hết hạn</t>
  </si>
  <si>
    <t>/api/v1/admin/audit-logs</t>
  </si>
  <si>
    <t>1. Giúp người đăng ký theo dõi tiến độ duyệt hồ sơ mở Shop (hoặc xem lý do từ chối để bổ sung lại).</t>
  </si>
  <si>
    <t>Tra cứu Nhật ký Kiểm toán hệ thống</t>
  </si>
  <si>
    <t>GetMySellerProfile</t>
  </si>
  <si>
    <t>Headers: { "Authorization": "Bearer JWT" }
Query:
{
  "page": "int (default: 1)",
  "limit": "int (default: 20)",
  "actor_id": "uuid (optional)",
  "action": "string (optional)",
  "from_date": "datetime (optional)",
  "to_date": "datetime (optional)"
}</t>
  </si>
  <si>
    <t>Seller tự xem thông tin gian hàng của mình</t>
  </si>
  <si>
    <t>{
  "msg": "Lấy nhật ký kiểm toán thành công",
  "data": {
    "items": [
      {
        "id": "uuid",
        "actorId": "uuid",
        "action": "string",
        "targetEntity": "string",
        "oldValues": "object",
        "newValues": "object",
        "reason": "string",
        "ipAddress": "string",
        "createdAt": "timestamp"
      }
    ]
  }
}</t>
  </si>
  <si>
    <t>- User phải có role SELLER</t>
  </si>
  <si>
    <t>- [401] ERR_UNAUTHORIZED: Chưa đăng nhập
- [403] ERR_FORBIDDEN_NOT_SELLER: Tài khoản không có vai trò Seller</t>
  </si>
  <si>
    <t>1. Trả về thông tin quản trị gian hàng nội bộ dành riêng cho chủ Shop.</t>
  </si>
  <si>
    <t>UpdateSellerProfile</t>
  </si>
  <si>
    <t>Cập nhật thông tin hồ sơ cho Seller</t>
  </si>
  <si>
    <t>- shopName: 3-50 ký tự nếu có đổi</t>
  </si>
  <si>
    <t>yes (RabbitMQ: Đồng bộ sang Commerce &amp; Fulfillment)</t>
  </si>
  <si>
    <t>SellerProfileUpdated</t>
  </si>
  <si>
    <t>- [401] ERR_UNAUTHORIZED: Chưa đăng nhập
- [403] ERR_FORBIDDEN: Không có quyền chỉnh sửa Shop này
- [409] ERR_SHOP_NAME_TAKEN: Tên gian hàng đã có người sử dụng</t>
  </si>
  <si>
    <t>1. Cho phép chủ Shop đổi hotline, địa chỉ kho lấy hàng và mô tả Shop.  
2. Bắn sự kiện cập nhật để các service liên quan đồng bộ địa chỉ mới.</t>
  </si>
  <si>
    <t>GetPublicSellerProfile</t>
  </si>
  <si>
    <t>- sellerId: valid UUID</t>
  </si>
  <si>
    <t>- [404] ERR_SELLER_NOT_FOUND: Cửa hàng không tồn tại hoặc đã ngừng hoạt động</t>
  </si>
  <si>
    <t>1. Hiển thị thông tin công khai của Shop trên trang mua sắm hoặc phòng đấu giá.</t>
  </si>
  <si>
    <t>GetAdminSellerProfile</t>
  </si>
  <si>
    <t>- [401] ERR_UNAUTHORIZED: Chưa đăng nhập
- [403] ERR_FORBIDDEN: Không có quyền quản trị
- [404] ERR_SELLER_NOT_FOUND: Không tìm thấy thông tin Shop</t>
  </si>
  <si>
    <t>1. Cung cấp đầy đủ thông tin pháp lý, CCCD và lịch sử vi phạm của Shop cho nhân sự thanh tra.</t>
  </si>
  <si>
    <t>ADMIN-11</t>
  </si>
  <si>
    <t>GetUsersList</t>
  </si>
  <si>
    <t>Danh bạ người dùng có lọc &amp; phân trang</t>
  </si>
  <si>
    <t>Headers: { "Authorization": "Bearer JWT" }
Query:
{
  "page": "int (default: 1)",
  "limit": "int (default: 20)",
  "keyword": "string (tìm username, tên, email, sđt)",
  "role": "string",
  "status": "string"
}</t>
  </si>
  <si>
    <t>{
  "msg": "Lấy danh sách người dùng thành công",
  "data": {
    "items": [
      {
        "id": "uuid",
        "email": "string",
        "username": "string | null",
        "firstName": "string",
        "lastName": "string",
        "phoneNumber": "string",
        "status": "string",
        "reputationScore": "int",
        "roles": "string[]"
      }
    ],
    "total": "int: 150"
  }
}</t>
  </si>
  <si>
    <t>Admin
(Perm: user:view)</t>
  </si>
  <si>
    <t>/api/v1/admin/configs</t>
  </si>
  <si>
    <t>- [401] ERR_UNAUTHORIZED: Chưa đăng nhập
- [403] ERR_PERMISSION_DENIED: Không có quyền xem danh sách người dùng (user:view)</t>
  </si>
  <si>
    <t>Xem danh sách tham số cấu hình toàn sàn</t>
  </si>
  <si>
    <t>1. Tìm kiếm trên tên, họ, email, SĐT.
2. Mặc định sắp xếp tên tăng dần first_name ASC.
3. Mặc định loại trừ tài khoản đã bị xóa mềm is_deleted = false.
4. Tuyệt đối không trả về password_hash.</t>
  </si>
  <si>
    <t>{
  "msg": "Lấy cấu hình hệ thống thành công",
  "data": [
    {
      "key": "string",
      "value": "string",
      "description": "string",
      "dataType": "string",
      "updatedAt": "timestamp"
    }
  ]
}</t>
  </si>
  <si>
    <t>CreateUserAdmin</t>
  </si>
  <si>
    <t>Admin tạo user mới hoặc tài khoản nhân sự</t>
  </si>
  <si>
    <t>- email, password: required
- roleCodes: không rỗng</t>
  </si>
  <si>
    <t>yes (RabbitMQ: Wallet Service tạo ví 0đ - WAL-01)</t>
  </si>
  <si>
    <t>UserCreatedByAdmin</t>
  </si>
  <si>
    <t>Admin
(Perm: user:create)</t>
  </si>
  <si>
    <t>- [400] ERR_INVALID_ROLES: Danh sách vai trò không hợp lệ
- [401] ERR_UNAUTHORIZED: Chưa đăng nhập
- [403] ERR_PERMISSION_DENIED: Không có quyền tạo tài khoản (user:create)
- [409] ERR_EMAIL_EXISTS: Email đã tồn tại trên hệ thống</t>
  </si>
  <si>
    <t>1. Cho phép Admin khởi tạo trực tiếp tài khoản nhân viên hoặc user đặc thù mà không cần qua OTP email.
2. Tự động kích hoạt sự kiện tạo ví 0 đồng qua Wallet Service (WAL-01).</t>
  </si>
  <si>
    <t>GetUserDetails</t>
  </si>
  <si>
    <t>{
  "msg": "Lấy chi tiết người dùng thành công",
  "data": {
    "id": "uuid",
    "email": "string",
    "username": "string | null",
    "firstName": "string",
    "lastName": "string",
    "phoneNumber": "string",
    "status": "string",
    "reputationScore": "int",
    "trustLevel": "string",
    "roles": "string[]",
    "permissions": "string[]",
    "sellerProfile": "object",
    "createdAt": "timestamp",
    "auditHistory": "object[]"
  }
}</t>
  </si>
  <si>
    <t>- userId: valid UUID</t>
  </si>
  <si>
    <t>Public / Admin
(Perm: user:view)</t>
  </si>
  <si>
    <t>- [401] ERR_UNAUTHORIZED: Chưa đăng nhập
- [403] ERR_PERMISSION_DENIED: Không có quyền xem chi tiết user
- [404] ERR_USER_NOT_FOUND: Người dùng không tồn tại</t>
  </si>
  <si>
    <t>1. Trả về thông tin: Họ tên, hồ sơ Shop (nếu là Seller), danh sách vai trò, lịch sử 10 lần biến động điểm uy tín gần nhất.</t>
  </si>
  <si>
    <t>ADMIN-12</t>
  </si>
  <si>
    <t>UpdateUserAdmin</t>
  </si>
  <si>
    <t>Cập nhật thông tin User có ghi Audit Log</t>
  </si>
  <si>
    <t>AUC-16 (đồng bộ cấu hình bước giá &amp; phí sàn sang Auction)</t>
  </si>
  <si>
    <t>- userId: valid UUID
- reason: &gt;= 10 ký tự (bắt buộc)</t>
  </si>
  <si>
    <t>UserUpdatedByAdmin</t>
  </si>
  <si>
    <t>Admin
(Perm: user:edit)</t>
  </si>
  <si>
    <t>- [400] ERR_AUDIT_REASON_REQUIRED: Lý do can thiệp bắt buộc tối thiểu 10 ký tự
- [401] ERR_UNAUTHORIZED: Chưa đăng nhập
- [403] ERR_PERMISSION_DENIED: Không có quyền cập nhật user (user:edit)
- [404] ERR_USER_NOT_FOUND: Người dùng không tồn tại</t>
  </si>
  <si>
    <t>1. BẮT BUỘC ghi lại Audit Log vào audit_logs gồm: admin_id, target_user_id, action, old_values, new_values, reason, ip_address.
2. Admin không được tự ý sửa email của user tại đây.</t>
  </si>
  <si>
    <t>Cập nhật tham số cấu hình toàn sàn</t>
  </si>
  <si>
    <t>SoftDeleteUser</t>
  </si>
  <si>
    <t>Xóa mềm tài khoản người dùng</t>
  </si>
  <si>
    <t>Headers: { "Authorization": "Bearer JWT" }
Body:
{
  "key": "string",
  "value": "string",
  "reason": "string"
}</t>
  </si>
  <si>
    <t>- userId: valid UUID
- reason: required</t>
  </si>
  <si>
    <t>{
  "msg": "Cập nhật cấu hình sàn thành công",
  "data": {
    "key": "string",
    "oldValue": "string",
    "newValue": "string",
    "updatedAt": "timestamp"
  }
}</t>
  </si>
  <si>
    <t>yes
(RabbitMQ: Báo hủy các phiên treo)</t>
  </si>
  <si>
    <t>UserSoftDeleted</t>
  </si>
  <si>
    <t>Admin
(Perm: user:delete)</t>
  </si>
  <si>
    <t>- [400] ERR_CANNOT_DELETE_ADMIN: Không thể xóa tài khoản Quản trị viên
- [401] ERR_UNAUTHORIZED: Chưa đăng nhập
- [403] ERR_PERMISSION_DENIED: Không có quyền xóa user (user:delete)
- [404] ERR_USER_NOT_FOUND: Người dùng không tồn tại
- [409] ERR_ACTIVE_AUCTIONS_EXIST: Tài khoản đang có phiên đấu giá hoặc đơn hàng chưa kết thúc</t>
  </si>
  <si>
    <t>1. KHÔNG XÓA VẬT LÝ (DELETE FROM) để đảm bảo toàn vẹn dữ liệu đơn hàng và lịch sử đấu giá.
2. Cập nhật is_deleted = true, deleted_at = NOW(), deleted_by = admin_id.
3. Thu hồi toàn bộ Token của User.</t>
  </si>
  <si>
    <t>BanUser</t>
  </si>
  <si>
    <t>Khóa tài khoản người dùng vi phạm</t>
  </si>
  <si>
    <t>- userId: valid UUID
- reason: &gt;= 10 ký tự
- ban_duration_days &gt;= 0</t>
  </si>
  <si>
    <t>ADMIN-13</t>
  </si>
  <si>
    <t>yes
(RabbitMQ: Kick user khỏi Gateway/Auction ngay)</t>
  </si>
  <si>
    <t>UserBanned</t>
  </si>
  <si>
    <t>Admin
(Perm: user:ban)</t>
  </si>
  <si>
    <t>AUC-16 (cập nhật cache cấu hình sàn sang Auction)</t>
  </si>
  <si>
    <t>- [400] ERR_CANNOT_BAN_ADMIN: Không thể khóa tài khoản Quản trị viên
- [400] ERR_ALREADY_BANNED: Tài khoản đã bị khóa trước đó
- [401] ERR_UNAUTHORIZED: Chưa đăng nhập
- [403] ERR_PERMISSION_DENIED: Không có quyền khóa user (user:ban)
- [404] ERR_USER_NOT_FOUND: Người dùng không tồn tại</t>
  </si>
  <si>
    <t>AUC-17 (áp dụng cấu hình đấu giá mới)</t>
  </si>
  <si>
    <t>1. Cập nhật status = BANNED, lưu ban_reason.
2. Hủy toàn bộ phiên đăng nhập trong Redis và DB.
3. Ngăn chặn đăng nhập mới và chặn gRPC đặt giá bên Auction Service.</t>
  </si>
  <si>
    <t>UnbanUser</t>
  </si>
  <si>
    <t>Mở khóa tài khoản người dùng</t>
  </si>
  <si>
    <t>UserUnbanned</t>
  </si>
  <si>
    <t>Admin
(Perm: user:unban)</t>
  </si>
  <si>
    <t>- [400] ERR_USER_NOT_BANNED: Tài khoản đang hoạt động bình thường, không bị khóa
- [401] ERR_UNAUTHORIZED: Chưa đăng nhập
- [403] ERR_PERMISSION_DENIED: Không có quyền mở khóa user (user:unban)
- [404] ERR_USER_NOT_FOUND: Người dùng không tồn tại</t>
  </si>
  <si>
    <t>1. Cập nhật status = ACTIVE, xóa banned_until và ban_reason.
2. Ghi nhận unbanned_by vào Audit Log.
3. User có thể đăng nhập lại bình thường.</t>
  </si>
  <si>
    <t>GetSellerRequests</t>
  </si>
  <si>
    <t>Danh sách hồ sơ mở Shop chờ duyệt</t>
  </si>
  <si>
    <t>- page &gt;= 1
- limit &lt;= 100</t>
  </si>
  <si>
    <t>Support Staff
(Perm: seller:approve)</t>
  </si>
  <si>
    <t>- [401] ERR_UNAUTHORIZED: Chưa đăng nhập
- [403] ERR_PERMISSION_DENIED: Không có quyền xem danh sách duyệt Shop (seller:approve)</t>
  </si>
  <si>
    <t>1. Hiển thị danh sách hồ sơ kèm ảnh CCCD, địa chỉ kho GHN và điểm uy tín hiện tại của người nộp.</t>
  </si>
  <si>
    <t>GetSellerRequestDetails</t>
  </si>
  <si>
    <t>- registrationId: valid UUID</t>
  </si>
  <si>
    <t>- [401] ERR_UNAUTHORIZED: Chưa đăng nhập
- [403] ERR_PERMISSION_DENIED: Không có quyền truy cập
- [404] ERR_REGISTRATION_NOT_FOUND: Không tìm thấy hồ sơ đăng ký</t>
  </si>
  <si>
    <t>1. Trả về toàn bộ hồ sơ mở Shop bao gồm thông tin kho GHN và chứng từ đính kèm (CCCD, GPKD) để thẩm định.
2. Chỉ Staff hoặc Admin có quyền hạn mới được phép tra cứu.</t>
  </si>
  <si>
    <t>ApproveSellerRequest</t>
  </si>
  <si>
    <t>Phê duyệt hồ sơ mở Shop Cấp role SELLER</t>
  </si>
  <si>
    <t>yes
(RabbitMQ: Báo Notification &amp; Catalog)</t>
  </si>
  <si>
    <t>UserRoleAssigned</t>
  </si>
  <si>
    <t>- [400] ERR_REQUEST_NOT_PENDING: Hồ sơ không ở trạng thái chờ duyệt
- [400] ERR_REPUTATION_TOO_LOW: Điểm uy tín của người nộp đã giảm dưới 50
- [401] ERR_UNAUTHORIZED: Chưa đăng nhập
- [403] ERR_PERMISSION_DENIED: Không có quyền duyệt Shop
- [404] ERR_REQUEST_NOT_FOUND: Hồ sơ đăng ký không tồn tại</t>
  </si>
  <si>
    <t>1. Kiểm tra lại điều kiện: reputation_score &gt;= 50.
2. Cập nhật hồ sơ APPROVED, gán approved_by = staff_id.
3. Bổ sung Role SELLER vào bảng user_roles.
4. Tạo bản ghi Shop chính thức trong seller_profiles.</t>
  </si>
  <si>
    <t>RejectSellerRequest</t>
  </si>
  <si>
    <t>Từ chối hồ sơ mở Shop kèm lý do cụ thể</t>
  </si>
  <si>
    <t>- registrationId: valid UUID
- rejection_reason: &gt;= 10 ký tự</t>
  </si>
  <si>
    <t>yes
(Notification Service: Báo email)</t>
  </si>
  <si>
    <t>SellerRequestRejected</t>
  </si>
  <si>
    <t>- [400] ERR_REASON_REQUIRED: Bắt buộc nhập lý do từ chối tối thiểu 10 ký tự
- [401] ERR_UNAUTHORIZED: Chưa đăng nhập
- [403] ERR_PERMISSION_DENIED: Không có quyền từ chối hồ sơ
- [404] ERR_REQUEST_NOT_FOUND: Không tìm thấy hồ sơ đăng ký</t>
  </si>
  <si>
    <t>1. Cập nhật trạng thái REJECTED, lưu rejection_reason.
2. Giữ nguyên role BUYER.
3. Bắn event gửi email thông báo lý do để người dùng nộp lại.</t>
  </si>
  <si>
    <t>AssignUserRoles</t>
  </si>
  <si>
    <t>- userId: valid UUID
- roleCodes: mảng không rỗng
- reason: required</t>
  </si>
  <si>
    <t>UserRolesAssigned</t>
  </si>
  <si>
    <t>Erorr</t>
  </si>
  <si>
    <t>Admin (Super Admin)
(Perm: role:assign)</t>
  </si>
  <si>
    <t>- [400] ERR_SOD_VIOLATION: Vi phạm nguyên tắc phân tách nhiệm vụ SoD
- [400] ERR_CANNOT_DEMOTE_LAST_ADMIN: Không thể hạ quyền của Admin duy nhất còn lại
- [401] ERR_UNAUTHORIZED: Chưa đăng nhập
- [403] ERR_FORBIDDEN: Chỉ Super Admin mới có quyền phân vai trò (role:assign)</t>
  </si>
  <si>
    <t>1. Áp dụng quy tắc Phân tách nhiệm vụ SoD: 1 nhân sự không được đồng thời vừa giữ quyền Staff Duyệt Shop vừa giữ quyền Admin Quản Trị Hệ Thống.
2. Bắt buộc thu hồi phiên làm việc của user để họ đăng nhập lại nhận Claims mới.
3. Ghi Audit Log mức CRITICAL.</t>
  </si>
  <si>
    <t>GetAuditLogs</t>
  </si>
  <si>
    <t>- page &gt;= 1
- from_date &lt;= to_date</t>
  </si>
  <si>
    <t>Admin
(Perm: audit:view)</t>
  </si>
  <si>
    <t>- [401] ERR_UNAUTHORIZED: Chưa đăng nhập
- [403] ERR_PERMISSION_DENIED: Không có quyền tra cứu nhật ký kiểm toán (audit:view)</t>
  </si>
  <si>
    <t>1. Dữ liệu bảng audit_logs là Append-Only (Chỉ ghi, tuyệt đối không ai được sửa hay xóa, kể cả Admin).
2. Phục vụ công tác thanh tra bảo mật và giải quyết khiếu nại.</t>
  </si>
  <si>
    <t>GetSystemConfigs</t>
  </si>
  <si>
    <t>Xem danh sách tham số cấu hình toàn sàn (GET /api/v1/admin/configs)</t>
  </si>
  <si>
    <t>- Perm: system:config_view</t>
  </si>
  <si>
    <t>Admin (Perm: system:config_view)</t>
  </si>
  <si>
    <t>- [401] ERR_UNAUTHORIZED: Chưa đăng nhập
- [403] ERR_PERMISSION_DENIED: Không có quyền xem cấu hình hệ thống (system:config_view)</t>
  </si>
  <si>
    <t>1. Đọc danh sách cấu hình từ Redis Cache (cfg:{key}). Nếu Redis chưa có thì fallback đọc DB system_configs.
2. Liệt kê các tham số uy tín: MIN_REPUTATION_TO_BID, MIN_REPUTATION_TO_SELL, SUCCESSFUL_TRANSACTION_REWARD_SCORE, AUCTION_CREATED_REWARD_SCORE, PAYMENT_TIMEOUT_PENALTY_SCORE.</t>
  </si>
  <si>
    <t>UpdateSystemConfig</t>
  </si>
  <si>
    <t>Cập nhật tham số cấu hình toàn sàn (PUT /api/v1/admin/configs)</t>
  </si>
  <si>
    <t>Headers: { "Authorization": "Bearer JWT" }
Body:
{
  "key": "string (config key)",
  "value": "string (config value mới)",
  "reason": "string (lý do sửa)"
}</t>
  </si>
  <si>
    <t>- key: tồn tại trong system_configs
- value: đúng kiểu dữ liệu
- reason: required</t>
  </si>
  <si>
    <t>yes (Redis: Cập nhật cache cấu hình sàn lập tức)</t>
  </si>
  <si>
    <t>SystemConfigUpdated</t>
  </si>
  <si>
    <t>Admin (Super Admin) (Perm: system:config_edit)</t>
  </si>
  <si>
    <t>- [400] ERR_INVALID_CONFIG_VALUE: Giá trị tham số cấu hình không hợp lệ
- [401] ERR_UNAUTHORIZED: Chưa đăng nhập
- [403] ERR_PERMISSION_DENIED: Không có quyền sửa cấu hình (system:config_edit)
- [404] ERR_CONFIG_NOT_FOUND: Khóa cấu hình không tồn tại</t>
  </si>
  <si>
    <t>1. Cập nhật giá trị mới vào DB system_configs.
2. Tự động ghi đè giá trị mới lên Redis Cache (Key cfg:{key}) để các service khác đọc tức thì mà không cần restart server.
3. Bắt buộc ghi 1 bản ghi vào audit_logs để lưu vết Admin nào vừa sửa.</t>
  </si>
  <si>
    <t>AdjustReputationScore</t>
  </si>
  <si>
    <t>Điều chỉnh Điểm Uy tín thủ công (+/- điểm)</t>
  </si>
  <si>
    <t>- userId: valid UUID
- delta: khác 0, trong [-50..+50]
- reason: &gt;= 10 ký tự</t>
  </si>
  <si>
    <t>ReputationScoreAdjusted</t>
  </si>
  <si>
    <t>Admin / Support Lead
(Perm: reputation:adjust)</t>
  </si>
  <si>
    <t>- [400] ERR_REASON_REQUIRED: Bắt buộc nhập lý do điều chỉnh uy tín (&gt;= 10 ký tự)
- [400] ERR_INVALID_DELTA: Điểm thay đổi phải khác 0 và trong khoảng [-50..+50]
- [401] ERR_UNAUTHORIZED: Chưa đăng nhập
- [403] ERR_PERMISSION_DENIED: Không có quyền can thiệp điểm uy tín (reputation:adjust)
- [404] ERR_USER_NOT_FOUND: Người dùng không tồn tại</t>
  </si>
  <si>
    <t>1. Điểm uy tín luôn nằm trong khoảng . Nếu vượt 100 thì gán = 100, dưới 0 gán = 0.
2. Tự động tính toán lại phân hạng Trust Level tương ứng.
3. Ghi lịch sử vào reputation_logs kèm admin_id.</t>
  </si>
  <si>
    <t>ADMIN-15</t>
  </si>
  <si>
    <t>Tra cứu Nhật ký Sự kiện Outbox &amp; Broker</t>
  </si>
  <si>
    <t>Headers: { "Authorization": "Bearer JWT" }
Query:
{
  "page": "int (default: 1)",
  "limit": "int (default: 20)",
  "event_type": "string (optional)",
  "status": "string (PENDING, PUBLISHED, FAILED)"
}</t>
  </si>
  <si>
    <t>{
  "msg": "Lấy danh sách sự kiện Outbox thành công",
  "data": {
    "items": [
      {
        "id": "uuid",
        "eventType": "string",
        "payload": "object",
        "status": "string",
        "retryCount": "int",
        "createdAt": "timestamp",
        "processedAt": "timestamp"
      }
    ]
  }
}</t>
  </si>
  <si>
    <t>- page &gt;= 1</t>
  </si>
  <si>
    <t>Admin
(Perm: system:event_view)</t>
  </si>
  <si>
    <t>- [401] ERR_UNAUTHORIZED: Chưa đăng nhập
- [403] ERR_PERMISSION_DENIED: Không có quyền xem nhật ký sự kiện Outbox (system:event_view)</t>
  </si>
  <si>
    <t>1. Giám sát trạng thái truyền thông điệp bất đồng bộ của Transactional Outbox Pattern sang RabbitMQ.
2. Hỗ trợ kích hoạt Retry thủ công nếu có event bị lỗi kết nối.</t>
  </si>
  <si>
    <t>GetDynamicRoles</t>
  </si>
  <si>
    <t>Xem danh mục Roles &amp; Permissions (Dynamic RBAC)</t>
  </si>
  <si>
    <t>- Perm: role:view</t>
  </si>
  <si>
    <t>Admin
(Perm: role:view)</t>
  </si>
  <si>
    <t>- [401] ERR_UNAUTHORIZED: Chưa đăng nhập
- [403] ERR_PERMISSION_DENIED: Không có quyền xem danh mục vai trò (role:view)</t>
  </si>
  <si>
    <t>1. Trả về cả các System Roles cố định (BUYER, SELLER, STAFF, ADMIN) và các Custom Roles do sàn tự định nghĩa.</t>
  </si>
  <si>
    <t>GetPermissionsList</t>
  </si>
  <si>
    <t>- [401] ERR_UNAUTHORIZED: Chưa đăng nhập
- [403] ERR_PERMISSION_DENIED: Không có quyền xem danh mục đặc quyền (role:view)</t>
  </si>
  <si>
    <t>1. Cung cấp danh sách 65 mã quyền theo module (USER, AUCTION, SELLER, SYSTEM) để hiển thị checkbox cho Admin tick chọn phân quyền cho từng vai trò.</t>
  </si>
  <si>
    <t>ADMIN-17</t>
  </si>
  <si>
    <t>CreateDynamicRole</t>
  </si>
  <si>
    <t>Tạo Vai trò Tùy biến Mới</t>
  </si>
  <si>
    <t>Headers: { "Authorization": "Bearer JWT" }
Body:
{
  "role_name": "string (ví dụ: FINANCE_STAFF)",
  "description": "string",
  "permission_ids": "int[]"
}</t>
  </si>
  <si>
    <t>{
  "msg": "Tạo vai trò tùy biến mới thành công",
  "data": {
    "roleId": "int",
    "roleName": "string",
    "permissionsCount": "int"
  }
}</t>
  </si>
  <si>
    <t>- role_name: 3-50 ký tự, chữ hoa không dấu
- permission_ids: mảng quyền hợp lệ</t>
  </si>
  <si>
    <t>RoleCreated</t>
  </si>
  <si>
    <t>Admin (Super Admin)
(Perm: role:create)</t>
  </si>
  <si>
    <t>- [400] ERR_INVALID_PERMISSIONS: Danh sách đặc quyền gán cho vai trò không hợp lệ
- [401] ERR_UNAUTHORIZED: Chưa đăng nhập
- [403] ERR_PERMISSION_DENIED: Không có quyền tạo vai trò (role:create)
- [409] ERR_ROLE_NAME_EXISTS: Tên vai trò đã tồn tại trên sàn</t>
  </si>
  <si>
    <t>1. Đánh dấu is_system_role = false đối với các role tùy biến.
2. Map các quyền vào bảng trung gian role_permissions.</t>
  </si>
  <si>
    <t>UpdateDynamicRole</t>
  </si>
  <si>
    <t>Cập nhật Vai trò &amp; Quyền hạn Dynamic RBAC</t>
  </si>
  <si>
    <t>- roleId: integer &gt; 0
- permission_ids: mảng không rỗng</t>
  </si>
  <si>
    <t>RoleUpdated</t>
  </si>
  <si>
    <t>Admin (Super Admin)
(Perm: role:edit)</t>
  </si>
  <si>
    <t>- [400] ERR_CANNOT_EDIT_SYSTEM_ROLE: Không được phép chỉnh sửa các vai trò hệ thống cố định
- [401] ERR_UNAUTHORIZED: Chưa đăng nhập
- [403] ERR_PERMISSION_DENIED: Không có quyền sửa vai trò (role:edit)
- [404] ERR_ROLE_NOT_FOUND: Vai trò không tồn tại</t>
  </si>
  <si>
    <t>1. Cho phép chỉnh sửa mô tả và danh sách permissions được gán cho role tùy biến.
2. Các System Role cố định bị cấm chỉnh sửa để tránh tê liệt hệ thống.</t>
  </si>
  <si>
    <t>ADMIN-19</t>
  </si>
  <si>
    <t>DeleteDynamicRole</t>
  </si>
  <si>
    <t>Xóa Vai trò Tùy biến</t>
  </si>
  <si>
    <t>Headers: { "Authorization": "Bearer JWT" }
Path:
{
  "roleId": "int"
}</t>
  </si>
  <si>
    <t>{
  "msg": "Đã xóa vai trò thành công",
  "data": {
    "roleId": "int",
    "isDeleted": true
  }
}</t>
  </si>
  <si>
    <t>- roleId: integer &gt; 0</t>
  </si>
  <si>
    <t>RoleDeleted</t>
  </si>
  <si>
    <t>Admin (Super Admin)
(Perm: role:delete)</t>
  </si>
  <si>
    <t>- [400] ERR_SYSTEM_ROLE_CANNOT_BE_DELETED: Cấm xóa các vai trò cốt lõi của hệ thống
- [401] ERR_UNAUTHORIZED: Chưa đăng nhập
- [403] ERR_PERMISSION_DENIED: Không có quyền xóa vai trò (role:delete)
- [404] ERR_ROLE_NOT_FOUND: Vai trò không tồn tại
- [409] ERR_ROLE_IN_USE: Vai trò đang có người dùng gán, không thể xóa</t>
  </si>
  <si>
    <t>1. Tuyệt đối không xóa các System Role mặc định (ADMIN, BUYER, SELLER, STAFF).
2. Nếu role tùy biến đang có ít nhất 1 user sử dụng Từ chối xóa, bắt buộc thu hồi quyền trước.</t>
  </si>
  <si>
    <t>SubmitPeerReview</t>
  </si>
  <si>
    <t>- rating: 1 đến 5
- comment: 10-500 ký tự
- transaction_type: "ORDER" | "AUCTION"</t>
  </si>
  <si>
    <t>yes
(Order/Auction Service: Check trạng thái COMPLETED)</t>
  </si>
  <si>
    <t>PeerReviewSubmitted</t>
  </si>
  <si>
    <t>Buyer hoặc Seller</t>
  </si>
  <si>
    <t>- [400] ERR_TRANSACTION_NOT_COMPLETED: Giao dịch chưa hoàn thành (COMPLETED)
- [400] ERR_REVIEW_WINDOW_EXPIRED: Đã quá hạn 7 ngày đánh giá
- [401] ERR_UNAUTHORIZED: Chưa đăng nhập
- [403] ERR_NOT_TRANSACTION_PARTY: Không thuộc bên tham gia giao dịch
- [409] ERR_REVIEW_ALREADY_EXISTS: Đã gửi đánh giá cho giao dịch này trước đó</t>
  </si>
  <si>
    <t>1. Điều kiện: Giao dịch ở trạng thái COMPLETED.
2. Thời hạn đánh giá: trong 7 ngày.
3. Buyer đánh giá Seller và ngược lại.
4. Tự động tác động điểm uy tín: 5 sao (+1), 4 sao (+1), 3 sao (0), 2 sao (-1), 1 sao (-2), cộng dồn trong dải [0..100].</t>
  </si>
  <si>
    <t>GetUserReviews</t>
  </si>
  <si>
    <t>- userId: valid UUID
- page &gt;= 1</t>
  </si>
  <si>
    <t>- [404] ERR_USER_NOT_FOUND: Người dùng không tồn tại</t>
  </si>
  <si>
    <t>1. Chỉ hiển thị các đánh giá có is_hidden = false.
2. Che thông tin nhạy cảm của reviewer (chỉ hiện tên rút gọn, vd: v***h).</t>
  </si>
  <si>
    <t>GetReputationHistory</t>
  </si>
  <si>
    <t>Owner (chính user) hoặc Admin</t>
  </si>
  <si>
    <t>- [401] ERR_UNAUTHORIZED: Chưa đăng nhập
- [403] ERR_FORBIDDEN: Không có quyền xem lịch sử uy tín của người khác</t>
  </si>
  <si>
    <t>1. Người dùng chỉ xem được lịch sử của chính mình.
2. Staff/Admin có quyền xem lịch sử của bất kỳ ai để điều tra khiếu nại.</t>
  </si>
  <si>
    <t>HideReviewAdmin</t>
  </si>
  <si>
    <t>Admin/Staff ẩn đánh giá vi phạm thuần phong mỹ tục</t>
  </si>
  <si>
    <t>- id: valid UUID
- reason: required</t>
  </si>
  <si>
    <t>ReviewHiddenByAdmin</t>
  </si>
  <si>
    <t>Support Staff
(Perm: review:moderate)</t>
  </si>
  <si>
    <t>- [400] ERR_REASON_REQUIRED: Bắt buộc nhập lý do ẩn đánh giá
- [401] ERR_UNAUTHORIZED: Chưa đăng nhập
- [403] ERR_PERMISSION_DENIED: Không có quyền kiểm duyệt đánh giá (review:moderate)
- [404] ERR_REVIEW_NOT_FOUND: Không tìm thấy đánh giá</t>
  </si>
  <si>
    <t>1. Đổi is_hidden = true, lưu hidden_by và hidden_reason.
2. Tự động hoàn lại điểm uy tín bị trừ sai nếu đánh giá đó là đánh giá bẩn/troll phá hoại.</t>
  </si>
  <si>
    <t>GetUserReputationSummary</t>
  </si>
  <si>
    <t>F1. mua hàng thường</t>
  </si>
  <si>
    <t>1. Trả về điểm uy tín hiện tại và phân hạng Trust Level (EXCELLENT: 90-100, GOOD: 70-89, STANDARD: 50-69, PROBATION: 40-49, UNTRUSTED: 0-39).
2. Cờ nghiệp vụ: canBid = (reputationScore &gt;= 40), canSell = (reputationScore &gt;= 50).</t>
  </si>
  <si>
    <t>UploadReportFile</t>
  </si>
  <si>
    <t>- files: mảng ảnh hợp lệ &lt;= 5MB</t>
  </si>
  <si>
    <t>ReportFilesUploaded</t>
  </si>
  <si>
    <t>Buyer (Authenticated)</t>
  </si>
  <si>
    <t>- [400] ERR_INVALID_FILE_TYPE: Định dạng file không hợp lệ (chỉ nhận ảnh &lt;= 5MB)
- [401] ERR_UNAUTHORIZED: Chưa đăng nhập</t>
  </si>
  <si>
    <t>1. Tải lên ảnh chụp bằng chứng vi phạm của tài khoản (gian lận đấu giá, quấy rối, xúc phạm trong đánh giá) để đính kèm vào hồ sơ tố cáo.
2. File được lưu trữ trên Cloud Storage (S3/MinIO), trả về danh sách URL để lưu vào bảng user_reports.</t>
  </si>
  <si>
    <t>UploadReviewFile</t>
  </si>
  <si>
    <t>Upload đánh giá sản phẩm</t>
  </si>
  <si>
    <t>- files: tối đa 5 ảnh, định dạng jpg/png/webp</t>
  </si>
  <si>
    <t>ReviewFilesUploaded</t>
  </si>
  <si>
    <t>- [400] ERR_FILE_LIMIT_EXCEEDED: Vượt quá giới hạn tối đa 5 ảnh đính kèm
- [401] ERR_UNAUTHORIZED: Chưa đăng nhập</t>
  </si>
  <si>
    <t>1. Tải ảnh thực tế khi mở hộp sản phẩm để đính kèm vào payload POST /api/v1/reviews.
2. Thiết kế database chuyên biệt cho URL ảnh sẽ cấu hình ở giai đoạn sau.</t>
  </si>
  <si>
    <t>SubmitUserReport</t>
  </si>
  <si>
    <t>- reported_user_id: valid UUID
- description: tối thiểu 10 ký tự
- không tự tố cáo chính mình</t>
  </si>
  <si>
    <t>UserReportSubmitted</t>
  </si>
  <si>
    <t>Buyer / Seller</t>
  </si>
  <si>
    <t>- [400] ERR_CANNOT_REPORT_SELF: Không thể tự tố cáo chính mình
- [400] ERR_VALIDATION_FAILED: Nội dung mô tả tối thiểu 10 ký tự
- [401] ERR_UNAUTHORIZED: Chưa đăng nhập
- [404] ERR_USER_NOT_FOUND: Người dùng bị tố cáo không tồn tại</t>
  </si>
  <si>
    <t>1. Không cho phép tự tố cáo chính mình.
2. Tài khoản bị tố cáo phải tồn tại và status = ACTIVE.
3. Tạo bản ghi trạng thái PENDING trong bảng user_reports.</t>
  </si>
  <si>
    <t>/api/v1/products</t>
  </si>
  <si>
    <t>GetAdminUserReports</t>
  </si>
  <si>
    <t>lấy toàn bộ product</t>
  </si>
  <si>
    <t>[Ref: CAT-06]
 Query:
 {
  "Page": "int",
  "PageSize": "int",
  "Keyword": "string",
  "CategoryId": "uuid",
  "Status": "DRAFT|ACTIVE|INACTIVE",
  "SellerId": "uuid",
  "SortBy": "string",
  "SortDir": "string"
 }</t>
  </si>
  <si>
    <t>[Ref: CAT-06]
 200 OK:
 {
  "Items": [
  {
  "ProductId": "uuid",
  "Name": "string",
  "Brand": "string",
  "MinPrice": "decimal",
  "MaxPrice": "decimal",
  "PrimaryImageUrl": "string",
  "AvgRating": "decimal",
  "Status": "DRAFT|ACTIVE|INACTIVE"
  }
  ],
  "Page": "int",
  "PageSize": "int",
  "Total": "int"
 }</t>
  </si>
  <si>
    <t>Support Staff
(Perm: user:moderate)</t>
  </si>
  <si>
    <t>- [401] ERR_UNAUTHORIZED: Chưa đăng nhập
- [403] ERR_PERMISSION_DENIED: Không có quyền kiểm duyệt tố cáo (user:moderate)</t>
  </si>
  <si>
    <t>1. Cho phép lọc theo trạng thái xử lý (PENDING, RESOLVED, DISMISSED) và loại vi phạm.
2. Sắp xếp mặc định created_at DESC (mới nhất lên đầu).</t>
  </si>
  <si>
    <t>ResolveUserReport</t>
  </si>
  <si>
    <t>/api/v1/products/search</t>
  </si>
  <si>
    <t>- reportId: valid UUID
- resolution_note: &gt;= 10 ký tự</t>
  </si>
  <si>
    <t>yes
(RabbitMQ: Báo Notification cho 2 bên)</t>
  </si>
  <si>
    <t>filter, search product</t>
  </si>
  <si>
    <t>UserReportResolved</t>
  </si>
  <si>
    <t>[Ref: CAT-20 + CAT-21]
 Query:
 {
  "Keyword": "string",
  "CategoryId": "uuid",
  "MinPrice": "decimal",
  "MaxPrice": "decimal",
  "Page": "int",
  "PageSize": "int",
  "Brand": "string",
  "SaleType": "REGULAR|AUCTION",
  "Attributes": "string (AttrName=AttrValue)",
  "MinRating": "decimal",
  "SortBy": "newest|priceAsc|priceDesc|rating"
 }</t>
  </si>
  <si>
    <t>- [400] ERR_ALREADY_RESOLVED: Đơn tố cáo đã được xử lý trước đó
- [401] ERR_UNAUTHORIZED: Chưa đăng nhập
- [403] ERR_PERMISSION_DENIED: Không có quyền xử lý tố cáo
- [404] ERR_REPORT_NOT_FOUND: Đơn tố cáo không tồn tại</t>
  </si>
  <si>
    <t>1. Cập nhật status = RESOLVED, lưu resolution_note và resolved_by.
2. Tự động trừ điểm uy tín trong reputation_scores, ghi nhận vào reputation_logs và user_penalties nếu chọn DEDUCT_REPUTATION.
3. Khóa tài khoản nếu chọn BAN_USER.</t>
  </si>
  <si>
    <t>DismissUserReport</t>
  </si>
  <si>
    <t>- reportId: valid UUID
- reason: &gt;= 10 ký tự</t>
  </si>
  <si>
    <t>UserReportDismissed</t>
  </si>
  <si>
    <t>- [400] ERR_REASON_REQUIRED: Bắt buộc nhập lý do bác bỏ tố cáo
- [401] ERR_UNAUTHORIZED: Chưa đăng nhập
- [403] ERR_PERMISSION_DENIED: Không có quyền bác bỏ tố cáo
- [404] ERR_REPORT_NOT_FOUND: Đơn tố cáo không tồn tại</t>
  </si>
  <si>
    <t>1. Đổi status = DISMISSED, lưu lý do bác bỏ.
2. Không áp dụng bất kỳ hình phạt nào lên người bị tố cáo.</t>
  </si>
  <si>
    <t>GetMyUserReports</t>
  </si>
  <si>
    <t>[Ref: CAT-20 + CAT-21]
 200 OK:
 {
  "Items": [
  {
  "ProductId": "uuid",
  "Name": "string",
  "MinPrice": "decimal",
  "MaxPrice": "decimal",
  "PrimaryImageUrl": "string",
  "AvgRating": "decimal"
  }
  ],
  "Page": "int",
  "PageSize": "int",
  "Total": "int"
 }</t>
  </si>
  <si>
    <t>- page &gt;= 1
- limit &lt;= 100
- status thuộc PENDING, RESOLVED, REJECTED (nếu có)</t>
  </si>
  <si>
    <t>Authenticated (Buyer / Seller)</t>
  </si>
  <si>
    <t>1. Chỉ người dùng đã đăng nhập mới có quyền xem danh sách đơn tố cáo do chính mình tạo (lọc theo reporter_id = current_user_id).
2. Hỗ trợ phân trang và lọc theo trạng thái đơn (PENDING, RESOLVED, REJECTED).</t>
  </si>
  <si>
    <t>/api/v1/product/{productId}</t>
  </si>
  <si>
    <t>lấy thông tin chi tiết của 1 product</t>
  </si>
  <si>
    <t>[Ref: CAT-05]
 Path:
 {"productId": "uuid"}</t>
  </si>
  <si>
    <t>GRPC-01</t>
  </si>
  <si>
    <t>[Ref: CAT-05]
 200 OK:
 {
  "Product": {
  "ProductId": "uuid",
  "SellerId": "uuid",
  "CategoryId": "uuid",
  "Name": "string",
  "Description": "string",
  "Brand": "string",
  "SaleType": "REGULAR|AUCTION",
  "Status": "DRAFT|ACTIVE|INACTIVE",
  "StatusReason": "SELLER_PAUSED|DISCONTINUED|ADMIN_LOCKED|OTHER",
  "Specifications": "object",
  "PublishedAt": "datetime"
  },
  "Category": {
  "CategoryId": "uuid",
  "ParentId": "uuid",
  "Name": "string",
  "Description": "string",
  "Level": "int",
  "SortOrder": "int",
  "IsActive": "boolean"
  },
  "Variants": [
  {
  "VariantId": "uuid",
  "SkuCode": "string",
  "Name": "string",
  "Price": "decimal",
  "Status": "ACTIVE|INACTIVE",
  "Attributes": [{"AttrName": "string", "AttrValue": "string"}]
  }
  ],
  "Images": [{"Url": "string", "AltText": "string"}],
  "Rating": {"AvgRating": "decimal", "ReviewCount": "int"}
 }</t>
  </si>
  <si>
    <t>VerifyUserBidEligibility</t>
  </si>
  <si>
    <t>Auction Service kiểm tra quyền tham gia đấu giá</t>
  </si>
  <si>
    <t>command (gRPC Sync)</t>
  </si>
  <si>
    <t>/api/v1/cart/items</t>
  </si>
  <si>
    <t>thêm 1 hoặc nhiều sản phẩm vào giỏ hàng</t>
  </si>
  <si>
    <t>VerifyUserBidEligibilityRequest {
  string user_id = 1;
  double bid_amount = 2;
  string auction_id = 3;
}</t>
  </si>
  <si>
    <t>VerifyUserBidEligibilityResponse {
  bool is_eligible = 1;
  string failure_reason = 2;
  int32 reputation_score = 3;
  string trust_level = 4;
}</t>
  </si>
  <si>
    <t>- user_id: valid UUID
- bid_amount &gt; 0</t>
  </si>
  <si>
    <t>no (Đọc Redis cache)</t>
  </si>
  <si>
    <t>[Ref: CART-02]
 Body:
 {"ProductId": "uuid", "SkuId": "uuid", "Quantity": "int"}</t>
  </si>
  <si>
    <t>Internal Microservice
(mTLS / Service Token)</t>
  </si>
  <si>
    <t>[Ref: CART-02]
 200 OK:
 {
  "CartItemId": "uuid",
  "Quantity": "int",
  "UnitPriceSnapshot": "decimal",
  "Cart": {"ItemCount": "int", "SubtotalAmount": "decimal"}
 }</t>
  </si>
  <si>
    <t>- [401 / UNAUTHENTICATED] GRPC_UNAUTHENTICATED: Xác thực liên service mTLS thất bại
- [404 / NOT_FOUND] GRPC_NOT_FOUND: Người dùng không tồn tại</t>
  </si>
  <si>
    <t>1. Cam kết SLA phản hồi cực nhanh: &lt;= 30ms (Đọc trực tiếp từ Redis Cache, fallback DB).
2. Điều kiện đủ để Bid: status == ACTIVE, is_deleted == false, và reputation_score &gt;= 40.
3. Nếu vi phạm: Trả về is_eligible = false kèm lý do cụ thể.</t>
  </si>
  <si>
    <t>GRPC-02</t>
  </si>
  <si>
    <t>GetUserPublicInfoBatch</t>
  </si>
  <si>
    <t>Lấy hàng loạt tên và avatar cho Order/Auction</t>
  </si>
  <si>
    <t>query (gRPC Sync)</t>
  </si>
  <si>
    <t>GetUserPublicInfoBatchRequest {
  repeated string user_ids = 1;
}</t>
  </si>
  <si>
    <t>GetUserPublicInfoBatchResponse {
  repeated UserPublicDto users = 1;
}</t>
  </si>
  <si>
    <t>- user_ids: mảng tối đa 100 UUID</t>
  </si>
  <si>
    <t>no (Đọc Redis MGET)</t>
  </si>
  <si>
    <t>/api/v1/cart</t>
  </si>
  <si>
    <t>xem toàn bộ các sản phẩm của giỏ hàng, gửi list cart lên và kho check cái list đó và catalogc</t>
  </si>
  <si>
    <t>Internal Microservice</t>
  </si>
  <si>
    <t>[Ref: CART-01 (ô ID tham chiếu ghi NULL) + FUL-04 + CAT-39 + CAT-24]
 Header: Authorization: Bearer &lt;JWT&gt;
 Query:
 {"IncludeInvalid": "boolean"}</t>
  </si>
  <si>
    <t>- [400 / INVALID_ARGUMENT] GRPC_INVALID_ARGUMENT: Mảng user_ids rỗng hoặc vượt quá 100 ID</t>
  </si>
  <si>
    <t>1. Tối ưu hóa truy vấn hiển thị danh sách người đấu giá / người mua đơn hàng.
2. Tận dụng Redis MGET để trả kết quả dưới 10ms (giải quyết triệt để lỗi N+1).</t>
  </si>
  <si>
    <t>[Ref: CART-01 (ô ID tham chiếu ghi NULL) + FUL-04 + CAT-39 + CAT-24]
 200 OK:
 {
  "CartId": "uuid",
  "Status": "Active|Abandoned|Converted",
  "ItemCount": "int",
  "SubtotalAmount": "decimal",
  "LastActivityAt": "datetime",
  "Groups": [
  {
  "SellerId": "uuid",
  "SellerName": "string",
  "Items": [
  {
  "CartItemId": "uuid",
  "ProductId": "uuid",
  "SkuId": "uuid",
  "ProductName": "string",
  "SkuAttributes": "object",
  "ImageUrl": "string",
  "Quantity": "int",
  "UnitPriceSnapshot": "decimal",
  "CurrentUnitPrice": "decimal",
  "LineTotal": "decimal",
  "PriceChanged": "boolean",
  "StockAvailable": "int",
  "ItemStatus": "OK|OUT_OF_STOCK|INACTIVE|PRICE_CHANGED"
  }
  ]
  }
  ],
  "Warnings": ["CATALOG_UNAVAILABLE|FULFILLMENT_UNAVAILABLE"]
 }</t>
  </si>
  <si>
    <t>GRPC-03</t>
  </si>
  <si>
    <t>GetSellerPickupAddress</t>
  </si>
  <si>
    <t>NULL</t>
  </si>
  <si>
    <t>FUL-04</t>
  </si>
  <si>
    <t>Lấy địa chỉ kho chuẩn GHN của Shop cho Fulfillment &amp; Commerce</t>
  </si>
  <si>
    <t>SellerPickupAddressRequest {
  string seller_user_id = 1;
}</t>
  </si>
  <si>
    <t>SellerPickupAddressResponse {
  string seller_user_id = 1;
  string shop_name = 2;
  string pickup_address = 3;
  int32 province_id = 4;
  int32 district_id = 5;
  string ward_code = 6;
  string hotline = 7;
}</t>
  </si>
  <si>
    <t>- seller_user_id: valid UUID</t>
  </si>
  <si>
    <t>- [400 / INVALID_ARGUMENT] GRPC_INVALID_ARGUMENT: seller_user_id không hợp lệ
- [404 / NOT_FOUND] GRPC_NOT_FOUND: Không tìm thấy địa chỉ kho lấy hàng của Seller</t>
  </si>
  <si>
    <t>/api/v1/cart/items/{id}</t>
  </si>
  <si>
    <t>đổi số lượng 1 sản phẩm trong giỏ hàng</t>
  </si>
  <si>
    <t>1. Cung cấp thông tin kho lấy hàng chuẩn 4 cấp hành chính để Commerce tính phí ship và Fulfillment tạo vận đơn GHN.
2. Cache Redis in-memory seller:pickup:{id} với SLA &lt;= 10ms.</t>
  </si>
  <si>
    <t>[Ref: CART-03]
 Path:
 {"id": "uuid"}
 Body:
 {"Quantity": "int"}</t>
  </si>
  <si>
    <t>[Ref: CART-03]
 200 OK:
 {
  "CartItemId": "uuid",
  "Quantity": "int",
  "LineTotal": "decimal",
  "Cart": {"ItemCount": "int", "SubtotalAmount": "decimal"}
 }</t>
  </si>
  <si>
    <t>GRPC-04</t>
  </si>
  <si>
    <t>CheckReputation</t>
  </si>
  <si>
    <t>Kiểm tra điều kiện uy tín người dùng theo hành động (BID / SELL) cho Auction &amp; Catalog</t>
  </si>
  <si>
    <t>CheckReputationRequest {
  string action = 1; // "BID" | "SELL"
  repeated string user_ids = 2;
}</t>
  </si>
  <si>
    <t>CheckReputationResponse {
  repeated ReputationResult results = 1;
}
// ReputationResult: { string user_id, bool allowed, string reason, int32 reputation_score, string trust_level }</t>
  </si>
  <si>
    <t>- action: "BID" hoặc "SELL"
- user_ids: mảng tối đa 100 UUID</t>
  </si>
  <si>
    <t>xóa 1 hoặc nhiều sản phẩm ra khỏi giỏ</t>
  </si>
  <si>
    <t>- [400 / INVALID_ARGUMENT] GRPC_INVALID_ARGUMENT: Tham số action hoặc user_ids không hợp lệ
- [401 / UNAUTHENTICATED] GRPC_UNAUTHENTICATED: Xác thực mTLS thất bại</t>
  </si>
  <si>
    <t>[Ref: CART-04]</t>
  </si>
  <si>
    <t>[Ref: CART-04]
 200 OK:
 {
  "Cart": {"ItemCount": "int", "SubtotalAmount": "decimal"}
 }</t>
  </si>
  <si>
    <t>1. Cung cấp API nội bộ cho Auction Service và Catalog Service kiểm tra điều kiện uy tín (BID &gt;= 40 điểm, SELL &gt;= 50 điểm).
2. Tối ưu qua Redis in-memory cache với cam kết độ trễ SLA &lt;= 20ms.</t>
  </si>
  <si>
    <t>GRPC-05</t>
  </si>
  <si>
    <t>GetUserContact</t>
  </si>
  <si>
    <t>Lấy thông tin liên hệ và địa chỉ kho/nhận hàng của người dùng cho Commerce &amp; Fulfillment</t>
  </si>
  <si>
    <t>GetUserContactRequest {
  string user_id = 1;
}</t>
  </si>
  <si>
    <t>GetUserContactResponse {
  string user_id = 1;
  string full_name = 2;
  string phone_number = 3;
  string email = 4;
  AddressDto default_address = 5;
}</t>
  </si>
  <si>
    <t>- user_id: valid UUID</t>
  </si>
  <si>
    <t>no (Đọc Cache / DB)</t>
  </si>
  <si>
    <t>/api/v1/cart/items/all</t>
  </si>
  <si>
    <t>xóa toàn bộ sản phẩm ra khỏi giỏ</t>
  </si>
  <si>
    <t>[Ref: CART-05]
 Body:
 {"All": "boolean"}</t>
  </si>
  <si>
    <t>[Ref: CART-05]
 200 OK:
 {
  "RemovedCount": "int",
  "Cart": {"ItemCount": "int", "SubtotalAmount": "decimal"}
 }</t>
  </si>
  <si>
    <t>- [400 / INVALID_ARGUMENT] GRPC_INVALID_ARGUMENT: user_id không đúng định dạng
- [401 / UNAUTHENTICATED] GRPC_UNAUTHENTICATED: Xác thực mTLS thất bại
- [404 / NOT_FOUND] GRPC_NOT_FOUND: Người dùng không tồn tại</t>
  </si>
  <si>
    <t>1. Cung cấp dữ liệu liên hệ (họ tên, SĐT, địa chỉ nhận hàng/kho) chuẩn hóa 4 cấp hành chính để Commerce và Fulfillment tạo vận đơn.
2. Đọc qua Redis cache user:contact:{id} với SLA &lt;= 20ms.</t>
  </si>
  <si>
    <t>REP-01</t>
  </si>
  <si>
    <t>HandleOrderCompleted_RewardReputation</t>
  </si>
  <si>
    <t>Lắng nghe OrderCompletedEvent từ Commerce để cộng điểm uy tín (+1) cho cả Buyer và Seller</t>
  </si>
  <si>
    <t>OrderCompletedEvent {
  string order_id = 1;
  string buyer_id = 2;
  string seller_id = 3;
  double total_amount = 4;
  string completed_at = 5;
}</t>
  </si>
  <si>
    <t>/api/v1/cart/items/select</t>
  </si>
  <si>
    <t>{
  "status": "PROCESSED",
  "buyerReputationScore": "int",
  "sellerReputationScore": "int"
}</t>
  </si>
  <si>
    <t>- order_id: valid UUID
- buyer_id, seller_id: valid UUID</t>
  </si>
  <si>
    <t>buyer select ccasc item bên trong cart và trả ra giá tiền</t>
  </si>
  <si>
    <t>yes
(Notification Service: Gửi thông báo thưởng uy tín)</t>
  </si>
  <si>
    <t>[Ref: CART-06]
 Query:
 {
  "CartItemIds": ["uuid"]
 }</t>
  </si>
  <si>
    <t>Event Consumer (RabbitMQ / Inbox)</t>
  </si>
  <si>
    <t>- [ERR_EVENT_DUPLICATE] Event đã được xử lý qua message_id (Idempotent)
- [ERR_USER_NOT_FOUND] Không tìm thấy thông tin tài khoản</t>
  </si>
  <si>
    <t>[Ref: CART-06]
 200 OK:
 {
  "Valid": "boolean",
  "Items": [
  {
  "CartItemId": "uuid",
  "Issues": ["PRICE_CHANGED|OUT_OF_STOCK|INACTIVE|SELLER_SUSPENDED|QTY_EXCEEDS_STOCK"],
  "CurrentUnitPrice": "decimal",
  "AvailableQty": "int"
  }
  ]
 }</t>
  </si>
  <si>
    <t>1. Áp dụng Inbox Pattern kiểm tra message_id đảm bảo Exactly-Once.
2. Cộng 1 điểm uy tín cho cả Buyer và Seller khi đơn hàng hoàn thành suôn sẻ, trần tối đa 100 điểm.
3. Ghi nhận biến động vào bảng reputation_logs.</t>
  </si>
  <si>
    <t>REP-02</t>
  </si>
  <si>
    <t>HandleAuctionPaymentDefaulted_PenalizeWinner</t>
  </si>
  <si>
    <t>Lắng nghe AuctionPaymentExpiredEvent từ Commerce/Auction để xử phạt trừ điểm uy tín người thắng không thanh toán</t>
  </si>
  <si>
    <t>AuctionPaymentExpiredEvent {
  string auction_id = 1;
  string winner_id = 2;
  double final_price = 3;
  string expired_at = 4;
}</t>
  </si>
  <si>
    <t>{
  "status": "PENALTY_APPLIED",
  "userId": "uuid",
  "pointsDeducted": 10,
  "newReputationScore": "int"
}</t>
  </si>
  <si>
    <t>- auction_id: valid UUID
- winner_id: valid UUID</t>
  </si>
  <si>
    <t>yes
(Notification Service: Gửi email &amp; push cảnh báo vi phạm)</t>
  </si>
  <si>
    <t>AuctionPaymentTimedOut</t>
  </si>
  <si>
    <t>- [ERR_EVENT_DUPLICATE] Event đã xử lý trước đó
- [ERR_USER_NOT_FOUND] Không tìm thấy tài khoản người thắng</t>
  </si>
  <si>
    <t>1. Trừ 10 điểm uy tín của Winner do bùng kèo đấu giá trong 24h.
2. Tạo 1 bản ghi vi phạm trong user_penalties (loại AUCTION_PAYMENT_DEFAULT).
3. Nếu điểm uy tín hạ dưới 40, tự động thu hồi quyền tham gia đấu giá (canBid = false).</t>
  </si>
  <si>
    <t>REP-03</t>
  </si>
  <si>
    <t>HandleSellerOrderCancelled_PenalizeSeller</t>
  </si>
  <si>
    <t>/api/v1/checkout/quote</t>
  </si>
  <si>
    <t>Lắng nghe OrderCancelled (actor SELLER hoặc SELLER_NO_RESPONSE)
/ SellerRejectedEvent để phạt trừ điểm uy tín người bán tự ý hủy đơn</t>
  </si>
  <si>
    <t>buyer nhập địa chi, mã giảm giá và coi trước thông tin sau giảm và thông tin tiền ship tính trước</t>
  </si>
  <si>
    <t>SellerOrderCancelledEvent {
  string order_id = 1;
  string seller_id = 2;
  string cancel_reason = 3;
  string cancelled_at = 4;
}</t>
  </si>
  <si>
    <t>{
  "status": "PENALTY_APPLIED",
  "sellerId": "uuid",
  "pointsDeducted": 5,
  "newReputationScore": "int"
}</t>
  </si>
  <si>
    <t>- order_id: valid UUID
- seller_id: valid UUID</t>
  </si>
  <si>
    <t>yes
(Notification Service: Gửi thông báo phạt Seller)</t>
  </si>
  <si>
    <t>[Ref: CHK-01 (khung) + FUL-12 + CART-07 + CAT-24]
 Header: Authorization: Bearer &lt;JWT&gt;
 Body:
 {
  "CartItemIds": ["uuid"],
  "ShippingAddress": {
  "ReceiverName": "string",
  "Street": "string",
  "Ward": "string",
  "District": "string",
  "Province": "string",
  "GhnDistrictId": "int",
  "GhnWardCode": "string"
  },
  "ContactPhone": "string",
  "PaymentMethod": "WALLET|VNPAY",
  "CarrierCode": "string",
  "Vouchers": {
  "System": "string",
  "Shops": [{"SellerId": "uuid", "Code": "string"}],
  "Products": [{"SkuId": "uuid", "Code": "string"}]
  }
 }</t>
  </si>
  <si>
    <t>OrderCancelledBySeller</t>
  </si>
  <si>
    <t>[Ref: CHK-01 (khung) + FUL-12 + CART-07 + CAT-24]
 200 OK:
 {
  "Orders": [
  {
  "SellerId": "uuid",
  "Items": "array",
  "ItemsAmount": "decimal",
  "ProductDiscountAmount": "decimal",
  "ShopDiscountAmount": "decimal",
  "PlatformMarkupAmount": "decimal",
  "SystemDiscountAmount": "decimal",
  "ShippingFeeAmount": "decimal",
  "TotalAmount": "decimal",
  "ShippingOptions": [
  {
  "Fee": "decimal",
  "ServiceType": "Standard|Express|SameDay",
  "EstimatedDeliveryAt": "datetime"
  }
  ],
  "QuoteId": "string"
  }
  ],
  "GrandTotal": "decimal",
  "AppliedVouchers": "array",
  "InvalidVouchers": [{"Code": "string", "Reason": "string"}],
  "WalletBalance": "decimal",
  "Warnings": ["SHIPPING_QUOTE_UNAVAILABLE"]
 }</t>
  </si>
  <si>
    <t>- [ERR_EVENT_DUPLICATE] Event trùng lặp
- [ERR_USER_NOT_FOUND] Seller không tồn tại</t>
  </si>
  <si>
    <t>1. Trừ 5 điểm uy tín của Seller khi tự ý hủy đơn hàng đã thanh toán không có lý do chính đáng.
2. Ghi biên bản vi phạm vào bảng user_penalties. Nếu điểm &lt; 50, khóa tạm thời quyền đăng bán sản phẩm mới.</t>
  </si>
  <si>
    <t>FUL-12</t>
  </si>
  <si>
    <t>REP-04</t>
  </si>
  <si>
    <t>HandleReviewSubmitted_UpdateReputation</t>
  </si>
  <si>
    <t>Lắng nghe PeerReviewSubmittedEvent để tự động cập nhật điểm uy tín theo số sao đánh giá</t>
  </si>
  <si>
    <t>PeerReviewSubmittedEvent {
  string review_id = 1;
  string target_user_id = 2;
  int32 rating = 3;
  string transaction_id = 4;
}</t>
  </si>
  <si>
    <t>{
  "status": "SCORE_UPDATED",
  "targetUserId": "uuid",
  "scoreDelta": "int",
  "newScore": "int"
}</t>
  </si>
  <si>
    <t>- review_id: valid UUID
- target_user_id: valid UUID
- rating trong khoảng 1..5</t>
  </si>
  <si>
    <t>yes
(Notification Service: Thông báo đối tác đã nhận được đánh giá)</t>
  </si>
  <si>
    <t>ReputationScoreUpdated</t>
  </si>
  <si>
    <t>- [ERR_EVENT_DUPLICATE] Đánh giá đã được tính điểm trước đó
- [ERR_USER_NOT_FOUND] Đối tác nhận đánh giá không tồn tại</t>
  </si>
  <si>
    <t>1. Quy tắc cộng trừ: 5 sao (+1), 4 sao (+1), 3 sao (0), 2 sao (-1), 1 sao (-2).
2. Điểm uy tín được gán trong biên độ [0..100]. Tự động cập nhật Trust Level tương ứng.</t>
  </si>
  <si>
    <t>REP-05</t>
  </si>
  <si>
    <t>HandleReportResolved_ApplyReputationSanction</t>
  </si>
  <si>
    <t>Lắng nghe UserReportResolvedEvent để thực thi chế tài kỷ luật trừ điểm uy tín theo quyết định của Staff</t>
  </si>
  <si>
    <t>UserReportResolvedEvent {
  string report_id = 1;
  string reported_user_id = 2;
  string action = 3; // "DEDUCT_REPUTATION" | "BAN_USER"
  int32 points_deducted = 4;
  string resolution_note = 5;
  string staff_id = 6;
}</t>
  </si>
  <si>
    <t>{
  "status": "SANCTION_EXECUTED",
  "reportedUserId": "uuid",
  "action": "string",
  "finalScore": "int"
}</t>
  </si>
  <si>
    <t>- report_id: valid UUID
- reported_user_id: valid UUID
- action thuộc DEDUCT_REPUTATION hoặc BAN_USER</t>
  </si>
  <si>
    <t>yes
(Notification Service: Gửi quyết định xử phạt vi phạm đến người dùng)</t>
  </si>
  <si>
    <t>ReputationSanctionApplied</t>
  </si>
  <si>
    <t>- [ERR_EVENT_DUPLICATE] Quyết định xử lý đã được thi hành
- [ERR_USER_NOT_FOUND] Người bị tố cáo không tồn tại</t>
  </si>
  <si>
    <t>1. Nếu action = DEDUCT_REPUTATION: trừ số điểm tương ứng (tối đa 50 điểm), ghi chép lý do và hồ sơ tố cáo vào user_penalties.
2. Nếu action = BAN_USER: chuyển status user sang BANNED và thu hồi toàn bộ token đăng nhập.</t>
  </si>
  <si>
    <t>CHK-06: quét group PENDING_PAYMENT có payment_deadline_at &lt; now (mỗi 1 phút),
 batch 100, SELECT FOR UPDATE SKIP LOCKED (thịnh)</t>
  </si>
  <si>
    <t>seller bị trừ uy tín(vinh) - tự động trừ điểm và tra cứu qua REP-03</t>
  </si>
  <si>
    <t>ORD-23 (mới): GET /internal/v1/orders/{orderId}/rating-eligibility?userId=&amp;productId= , 
check order tồn tại, buyer_id = userId, status = COMPLETED mới được đánh giá (thịnh)</t>
  </si>
  <si>
    <t>check người đó đã đánh giá cái seller đó chưa, cùng 1 order(vinh) - REVIEW-01</t>
  </si>
  <si>
    <t>lưu đánh giá (vinh) - REVIEW-01</t>
  </si>
  <si>
    <t>ORD-23 (mới): GET /internal/v1/orders/{orderId}/rating-eligibility?userId=&amp;productId= ,
 check order tồn tại, buyer_id = userId, status = COMPLETED mới được đánh giá (thịnh)</t>
  </si>
  <si>
    <t>tăng uy tín nếu đơn hàng xong thì tăng uy tín (vinh) - REP-01</t>
  </si>
  <si>
    <t>F2. quản lý sản phẩm</t>
  </si>
  <si>
    <t>xem toàn bộ các sản phẩm của shop mình</t>
  </si>
  <si>
    <t>[Ref: CAT-06]
 Header:
 {"Authorization": "Bearer JWT (tùy chọn)"}
 Query:
 {
   "Page": "int",
   "PageSize": "int (tối đa 100)",
   "Keyword": "string",
   "CategoryId": "uuid",
   "Status": "DRAFT|ACTIVE|INACTIVE",
   "SellerId": "uuid",
   "SaleType": "REGULAR|AUCTION",
   "SortBy": "newest|priceAsc|priceDesc|rating",
   "SortDir": "asc|desc"
 }</t>
  </si>
  <si>
    <t>[Ref: CAT-06]
 200 OK:
 {
   "Items": [
     {
       "ProductId": "uuid",
       "Name": "string",
       "Brand": "string",
       "SaleType": "REGULAR|AUCTION",
       "MinPrice": "decimal | null",
       "MaxPrice": "decimal | null",
       "PrimaryImageUrl": "string | null",
       "AvgRating": "decimal | null",
       "Status": "DRAFT|ACTIVE|INACTIVE",
       "AuctionStatus": "DRAFT|SCHEDULED|RUNNING|ENDED|SETTLED|FAILED|CANCELLED | null",
       "IsOpen": "boolean | null",
       "IsSold": "boolean | null"
     }
   ],
   "Page": "int",
   "PageSize": "int",
   "Total": "int"
 }</t>
  </si>
  <si>
    <t>[Ref: CAT-06]
 Body lỗi: {"Code": "string", "Message": "string", "Errors": [{"Field": "string", "Message": "string"}]}
 400 VALIDATION_ERROR: Page &lt; 1; PageSize ngoài 1..100; SortBy hoặc SortDir không thuộc danh sách; SellerId, CategoryId sai định dạng uuid
 401 UNAUTHORIZED: Token có gửi nhưng không hợp lệ hoặc hết hạn</t>
  </si>
  <si>
    <t>/api/v1/product/search</t>
  </si>
  <si>
    <t>search, filter các sản phẩm của shop mình</t>
  </si>
  <si>
    <t>[Ref: CAT-06 + CAT-21]
 Header:
 {"Authorization": "Bearer JWT"}
 Query:
 {
   "Keyword": "string",
   "CategoryId": "uuid",
   "MinPrice": "decimal",
   "MaxPrice": "decimal",
   "Brand": "string",
   "SaleType": "REGULAR|AUCTION",
   "Attributes": "string (AttrName=AttrValue)",
   "MinRating": "decimal (0..5)",
   "Status": "DRAFT|ACTIVE|INACTIVE",
   "SortBy": "newest|priceAsc|priceDesc|rating",
   "Page": "int",
   "PageSize": "int"
 }</t>
  </si>
  <si>
    <t>[Ref: CAT-06 + CAT-21]
 200 OK:
 {
   "Items": [
     {
       "ProductId": "uuid",
       "Name": "string",
       "Brand": "string",
       "SaleType": "REGULAR|AUCTION",
       "MinPrice": "decimal | null",
       "MaxPrice": "decimal | null",
       "PrimaryImageUrl": "string | null",
       "AvgRating": "decimal | null",
       "Status": "DRAFT|ACTIVE|INACTIVE",
       "AuctionStatus": "DRAFT|SCHEDULED|RUNNING|ENDED|SETTLED|FAILED|CANCELLED | null",
       "IsOpen": "boolean | null",
       "IsSold": "boolean | null"
     }
   ],
   "Page": "int",
   "PageSize": "int",
   "Total": "int"
 }</t>
  </si>
  <si>
    <t>[Ref: CAT-06 + CAT-21]
 Body lỗi: {"Code": "string", "Message": "string", "Errors": [{"Field": "string", "Message": "string"}]}
 400 VALIDATION_ERROR: MinPrice &gt; MaxPrice; MinRating ngoài 0..5; SortBy không thuộc danh sách; Attributes sai dạng AttrName=AttrValue; Page, PageSize không hợp lệ
 401 UNAUTHORIZED: Thiếu token hoặc token hết hạn
 403 FORBIDDEN: Người gọi không phải Seller hoặc Admin</t>
  </si>
  <si>
    <t>CAT-06, CAT-21</t>
  </si>
  <si>
    <t>coi thông tin detail của 1 sản phẩm</t>
  </si>
  <si>
    <t>[Ref: CAT-05]
 Header:
 {"Authorization": "Bearer JWT (tùy chọn)"}
 Path:
 {"productId": "uuid"}
 Query:
 {"AuctionId": "uuid (tùy chọn, dùng khi xem sản phẩm từ trang phiên đấu giá)"}</t>
  </si>
  <si>
    <t>[Ref: CAT-05]
 200 OK:
 {
   "Product": {
     "ProductId": "uuid",
     "SellerId": "uuid",
     "CategoryId": "uuid",
     "Name": "string",
     "Description": "string",
     "Brand": "string",
     "SaleType": "REGULAR|AUCTION",
     "Status": "DRAFT|ACTIVE|INACTIVE",
     "StatusReason": "SELLER_PAUSED|DISCONTINUED|ADMIN_LOCKED|OTHER | null",
     "Specifications": "object",
     "PublishedAt": "datetime | null"
   },
   "Category": {
     "CategoryId": "uuid",
     "ParentId": "uuid | null",
     "Name": "string",
     "Description": "string",
     "Level": "int (1..3)",
     "SortOrder": "int",
     "IsActive": "boolean"
   },
   "Variants": [
     {
       "VariantId": "uuid",
       "SkuCode": "string",
       "Name": "string",
       "Price": "decimal | null",
       "Status": "ACTIVE|INACTIVE",
       "IsDefault": "boolean",
       "Attributes": [
         {
           "AttrName": "string",
           "AttrValue": "string"
         }
       ]
     }
   ],
   "Images": [
     {
       "ImageId": "uuid",
       "Url": "string",
       "AltText": "string",
       "IsActive": "boolean",
       "SortOrder": "int",
       "VariantId": "uuid | null"
     }
   ],
   "Rating": {
     "AvgRating": "decimal | null",
     "ReviewCount": "int"
   }
 }</t>
  </si>
  <si>
    <t>[Ref: CAT-05]
 Body lỗi: {"Code": "string", "Message": "string", "Errors": [{"Field": "string", "Message": "string"}]}
 400 VALIDATION_ERROR: productId hoặc AuctionId sai định dạng uuid
 404 PRODUCT_NOT_FOUND: Sản phẩm không tồn tại, đã xóa, hoặc Buyer xem sản phẩm không ACTIVE (Seller xem sản phẩm người khác cũng trả 404)</t>
  </si>
  <si>
    <t>WAL-01</t>
  </si>
  <si>
    <t>tạo sản phẩm mới, kèm biến thể đầu, KÈM DANH MỤC</t>
  </si>
  <si>
    <t>[Ref: CAT-01]
 Header:
 {"Authorization": "Bearer JWT"}
 Body:
 {
   "CategoryId": "uuid",
   "Name": "string",
   "Description": "string",
   "Brand": "string",
   "Specifications": "object",
   "Variants": [
     {
       "SkuCode": "string",
       "Name": "string",
       "Price": "decimal (&gt; 0)",
       "Currency": "string (mặc định VND)",
       "IsActive": "boolean (đúng 1 variant = true, là variant mặc định)",
       "Attributes": [
         {
           "AttrName": "string",
           "AttrValue": "string"
         }
       ]
     }
   ]
 }</t>
  </si>
  <si>
    <t>[Ref: CAT-01]
 201 Created:
 {
   "ProductId": "uuid",
   "Status": "DRAFT",
   "SaleType": "REGULAR",
   "Variants": [
     {
       "VariantId": "uuid",
       "SkuCode": "string"
     }
   ]
 }</t>
  </si>
  <si>
    <t>[Ref: CAT-01]
 Body lỗi: {"Code": "string", "Message": "string", "Errors": [{"Field": "string", "Message": "string"}]}
 400 VALIDATION_ERROR: Name rỗng; không có variant; Price trống hoặc &lt;= 0; không đúng 1 variant mặc định; Attributes lặp AttrName
 400 CATEGORY_INVALID: CategoryId không tồn tại, đã tắt hoặc đã xóa
 401 UNAUTHORIZED: Thiếu token hoặc token hết hạn
 403 SELLER_NOT_ALLOWED: Tài khoản chưa là Seller được duyệt (kiểm qua User Service)
 409 SKU_CODE_DUPLICATED: SkuCode đã tồn tại ở variant chưa xóa. Errors[].Field chỉ ra SkuCode nào
 503 USER_SERVICE_UNAVAILABLE: Không xác thực được seller</t>
  </si>
  <si>
    <t>CreateWallet</t>
  </si>
  <si>
    <t>FUL-01</t>
  </si>
  <si>
    <t>Khởi tạo ví điện tử nội bộ cho người dùng mới khi đăng ký tài khoản.</t>
  </si>
  <si>
    <t>seller cập nhật thông tin sản phẩm, danh mục</t>
  </si>
  <si>
    <t>userId (UUID), currency (String, default: "VND")</t>
  </si>
  <si>
    <t>[Ref: CAT-02]
 Header:
 {"Authorization": "Bearer JWT"}
 Path:
 {"productId": "uuid"}
 Body:
 {
   "CategoryId": "uuid",
   "Name": "string",
   "Description": "string",
   "Brand": "string",
   "Specifications": "object"
 }</t>
  </si>
  <si>
    <t>{"walletId": "UUID", "status": "ACTIVE", "balance": 0}</t>
  </si>
  <si>
    <t>userId không được để trống.</t>
  </si>
  <si>
    <t>[Ref: CAT-02]
 200 OK:
 {
   "ProductId": "uuid",
   "CategoryId": "uuid",
   "Name": "string",
   "Description": "string",
   "Brand": "string",
   "SaleType": "REGULAR|AUCTION",
   "Status": "DRAFT|ACTIVE|INACTIVE",
   "Specifications": "object",
   "UpdatedAt": "datetime"
 }</t>
  </si>
  <si>
    <t>event-driven (Inbox)</t>
  </si>
  <si>
    <t>WalletCreated</t>
  </si>
  <si>
    <t>SYSTEM / INTERNAL</t>
  </si>
  <si>
    <t>[Ref: CAT-02]
 Body lỗi: {"Code": "string", "Message": "string", "Errors": [{"Field": "string", "Message": "string"}]}
 400 VALIDATION_ERROR: Body không có field nào; Name rỗng; productId sai định dạng
 400 CATEGORY_INVALID: CategoryId mới không tồn tại, đã tắt hoặc đã xóa
 401 UNAUTHORIZED: Thiếu token hoặc token hết hạn
 403 FORBIDDEN: Người gọi không phải chủ sản phẩm và không phải Admin
 404 PRODUCT_NOT_FOUND: Sản phẩm không tồn tại hoặc đã xóa</t>
  </si>
  <si>
    <t>WALLET_ALREADY_EXISTS</t>
  </si>
  <si>
    <t>CAT-2</t>
  </si>
  <si>
    <t>FUL-02</t>
  </si>
  <si>
    <t>Tự động tiêu thụ event UserRegistered từ User Service inbox. Số dư khởi tạo luôn bằng 0.00 VND.</t>
  </si>
  <si>
    <t>[Ref: CAT-04]
 Header:
 {"Authorization": "Bearer JWT"}
 Path:
 {"productId": "uuid"}</t>
  </si>
  <si>
    <t>WAL-02</t>
  </si>
  <si>
    <t>[Ref: CAT-04]
 204 No Content</t>
  </si>
  <si>
    <t>[Ref: CAT-04]
 Body lỗi: {"Code": "string", "Message": "string", "Errors": [{"Field": "string", "Message": "string"}]}
 400 VALIDATION_ERROR: productId sai định dạng
 401 UNAUTHORIZED: Thiếu token hoặc token hết hạn
 403 FORBIDDEN: Người gọi không phải chủ sản phẩm và không phải Admin
 404 PRODUCT_NOT_FOUND: Sản phẩm không tồn tại hoặc đã xóa
 409 PRODUCT_HAS_ORDER: Có variant đã phát sinh đơn hàng (HasOrder = true). Gợi ý chuyển INACTIVE ở dòng 120
 409 PRODUCT_IN_AUCTION: Sản phẩm đang có phiên đấu giá mở (AUC-34 isOpen = true). Chỉ áp dụng nếu nhóm chốt phương án chặn</t>
  </si>
  <si>
    <t>GetWalletBalance</t>
  </si>
  <si>
    <t>Lấy thông tin ví và số dư khả dụng/bị khóa của người dùng.</t>
  </si>
  <si>
    <t>userId (UUID)</t>
  </si>
  <si>
    <t>/api/v1/product/{productId}pics</t>
  </si>
  <si>
    <t>{"walletId": "UUID", "balance": 1500000, "lockedBalance": 200000, "availableBalance": 1300000}</t>
  </si>
  <si>
    <t>thêm list ảnh của sản phẩm</t>
  </si>
  <si>
    <t>userId required.</t>
  </si>
  <si>
    <t>NONE</t>
  </si>
  <si>
    <t>[Ref: CAT-12]
 Header:
 {"Authorization": "Bearer JWT"}
 Path:
 {"productId": "uuid"}
 Body (multipart/form-data):
 {
   "Files": "binary[] (jpg, png, webp)",
   "VariantId": "uuid (tùy chọn, không gửi = ảnh chung của sản phẩm)",
   "AltText": "string",
   "IsActive": "boolean (true = đặt làm ảnh chính)"
 }</t>
  </si>
  <si>
    <t>BUYER / SELLER / ADMIN</t>
  </si>
  <si>
    <t>[Ref: CAT-12]
 201 Created:
 {
   "Items": [
     {
       "ImageId": "uuid",
       "Url": "string",
       "IsActive": "boolean",
       "SortOrder": "int"
     }
   ]
 }</t>
  </si>
  <si>
    <t>WALLET_NOT_FOUND</t>
  </si>
  <si>
    <t>[Ref: CAT-12]
 Body lỗi: {"Code": "string", "Message": "string", "Errors": [{"Field": "string", "Message": "string"}]}
 400 VALIDATION_ERROR: Files rỗng; VariantId không thuộc sản phẩm; productId sai định dạng
 401 UNAUTHORIZED: Thiếu token hoặc token hết hạn
 403 FORBIDDEN: Người gọi không phải chủ sản phẩm và không phải Admin
 404 PRODUCT_NOT_FOUND: Sản phẩm không tồn tại hoặc đã xóa
 409 IMAGE_LIMIT_EXCEEDED: Tổng số ảnh sau khi thêm vượt 5
 413 FILE_TOO_LARGE: File vượt dung lượng tối đa (nhóm chốt)
 415 UNSUPPORTED_MEDIA_TYPE: File không phải jpg, png hoặc webp
 503 STORAGE_UNAVAILABLE: Không tải được file lên object storage</t>
  </si>
  <si>
    <t>User chỉ được xem ví của chính mình. Admin có quyền xem ví của mọi user. availableBalance = balance - lockedBalance.</t>
  </si>
  <si>
    <t>WAL-03</t>
  </si>
  <si>
    <t>InitiateVnPayTopup</t>
  </si>
  <si>
    <t>xem các ảnh của sản phẩm</t>
  </si>
  <si>
    <t>Tạo yêu cầu nạp tiền vào ví qua cổng VNPay và trả về payment URL.</t>
  </si>
  <si>
    <t>[Ref: CAT-40 (mới)]
 Header:
 {"Authorization": "Bearer JWT (tùy chọn)"}
 Path:
 {"productId": "uuid"}
 Query:
 {"VariantId": "uuid (tùy chọn, lọc ảnh của một variant)"}</t>
  </si>
  <si>
    <t>[Ref: CAT-40]
 200 OK:
 {
   "Items": [
     {
       "ImageId": "uuid",
       "Url": "string",
       "AltText": "string",
       "IsActive": "boolean",
       "SortOrder": "int",
       "VariantId": "uuid | null"
     }
   ]
 }</t>
  </si>
  <si>
    <t>[Ref: CAT-40]
 Body lỗi: {"Code": "string", "Message": "string", "Errors": [{"Field": "string", "Message": "string"}]}
 400 VALIDATION_ERROR: productId hoặc VariantId sai định dạng, VariantId không thuộc sản phẩm
 404 PRODUCT_NOT_FOUND: Sản phẩm không tồn tại, đã xóa, hoặc Buyer xem sản phẩm không ACTIVE</t>
  </si>
  <si>
    <t>userId (UUID), amount (Decimal), ipAddress (String)</t>
  </si>
  <si>
    <t>{"vnpTxnRef": "TOPUP-20261019-12345", "paymentUrl": "VNPay Payment Gateway URL"}</t>
  </si>
  <si>
    <t>amount &gt;= 10,000 VND và &lt;= 100,000,000 VND.</t>
  </si>
  <si>
    <t>TopupInitiated</t>
  </si>
  <si>
    <t>BUYER / SELLER</t>
  </si>
  <si>
    <t>INVALID_TOPUP_AMOUNT, WALLET_NOT_FOUND</t>
  </si>
  <si>
    <t>Tạo bản ghi wallet_topups trạng thái PENDING. Mã vnp_TxnRef là duy nhất. Ký checksum HMAC-SHA512 bằng vnp_HashSecret.</t>
  </si>
  <si>
    <t>xóa list ảnh sản phẩm</t>
  </si>
  <si>
    <t>ProcessVnPayIpn</t>
  </si>
  <si>
    <t>Xử lý Webhook IPN từ VNPay gửi về để cộng tiền vào ví người dùng.</t>
  </si>
  <si>
    <t>[Ref: CAT-13]
 Header:
 {"Authorization": "Bearer JWT"}
 Path:
 {"productId": "uuid"}
 Query:
 {"ids": "uuid[] (ImageId, cách nhau dấu phẩy)"}</t>
  </si>
  <si>
    <t>[Ref: CAT-13]
 204 No Content</t>
  </si>
  <si>
    <t>Raw query params from VNPay (vnp_TxnRef, vnp_Amount, vnp_ResponseCode, vnp_SecureHash, ...)</t>
  </si>
  <si>
    <t>{"RspCode": "00", "Message": "Confirm Success"}</t>
  </si>
  <si>
    <t>Kiểm tra chữ ký vnp_SecureHash. vnp_Amount / 100 phải bằng amount trong wallet_topups.</t>
  </si>
  <si>
    <t>[Ref: CAT-13]
 Body lỗi: {"Code": "string", "Message": "string", "Errors": [{"Field": "string", "Message": "string"}]}
 400 VALIDATION_ERROR: ids rỗng hoặc có phần tử sai định dạng uuid
 401 UNAUTHORIZED: Thiếu token hoặc token hết hạn
 403 FORBIDDEN: Người gọi không phải chủ sản phẩm và không phải Admin
 404 IMAGE_NOT_FOUND: Có ảnh không tồn tại, đã xóa hoặc không thuộc sản phẩm. Errors[] liệt kê ImageId lỗi</t>
  </si>
  <si>
    <t>WalletTopupSucceeded / WalletTopupFailed</t>
  </si>
  <si>
    <t>VNPAY_GATEWAY (PUBLIC)</t>
  </si>
  <si>
    <t>RspCode: 97 (Invalid Signature), RspCode: 01 (Order not found), RspCode: 02 (Order already confirmed), RspCode: 04 (Invalid amount)</t>
  </si>
  <si>
    <t>Kiểm tra Idempotency bằng vnpay_ipn_logs. Nếu vnp_ResponseCode == '00', cộng tiền vào wallets.balance, ghi wallet_transactions (TOPUP_VNPAY) và Outbox event.</t>
  </si>
  <si>
    <t>WAL-05A</t>
  </si>
  <si>
    <t>DebitWalletForCheckout</t>
  </si>
  <si>
    <t>Trừ tiền ví buyer để thanh toán đơn hàng/nhóm đơn hàng.</t>
  </si>
  <si>
    <t>buyerId (UUID), checkoutGroupId (UUID), amount (Decimal), idempotencyKey (String)</t>
  </si>
  <si>
    <t>/api/v1/products/{productId}/totalRating</t>
  </si>
  <si>
    <t>{"transactionId": "UUID", "status": "SUCCESS", "remainingBalance": 45000}</t>
  </si>
  <si>
    <t>amount &gt; 0, availableBalance &gt;= amount.</t>
  </si>
  <si>
    <t>xem số sao của 1 sản phẩm, trung bình</t>
  </si>
  <si>
    <t>event-driven (Inbox/Outbox)</t>
  </si>
  <si>
    <t>[Ref: CAT-31]
 Path:
 {"productId": "uuid"}</t>
  </si>
  <si>
    <t>WalletDebitedSuccess / WalletDebitFailed</t>
  </si>
  <si>
    <t>[Ref: CAT-31]
 200 OK:
 {
   "ProductId": "uuid",
   "AvgRating": "decimal | null",
   "ReviewCount": "int"
 }</t>
  </si>
  <si>
    <t>COMMERCE_SERVICE / SAGA</t>
  </si>
  <si>
    <t>INSUFFICIENT_FUNDS, DUPLICATE_TRANSACTION_KEY</t>
  </si>
  <si>
    <t>[Ref: CAT-31]
 Body lỗi: {"Code": "string", "Message": "string", "Errors": [{"Field": "string", "Message": "string"}]}
 400 VALIDATION_ERROR: productId sai định dạng
 404 PRODUCT_NOT_FOUND: Sản phẩm không tồn tại hoặc đã xóa</t>
  </si>
  <si>
    <t>Tiêu thụ event OrderCheckoutRequested từ Commerce Service inbox. Khóa bản ghi ví (SELECT FOR UPDATE). Trừ balance, ghi wallet_transactions (PURCHASE_DEBIT), ghi Outbox event.</t>
  </si>
  <si>
    <t>WAL-05B</t>
  </si>
  <si>
    <t>InitiateDirectGatewayPayment</t>
  </si>
  <si>
    <t>Thanh toán trực tiếp qua cổng giao dịch</t>
  </si>
  <si>
    <t>/api/v1/products/{productId}/rating</t>
  </si>
  <si>
    <t>tổng số sao, và đánh giá của các người mua trong product</t>
  </si>
  <si>
    <t>[Ref: CAT-30 + CAT-31]
 Path:
 {"productId": "uuid"}
 Query:
 {
   "Page": "int",
   "PageSize": "int",
   "Rating": "int (1..5, lọc theo số sao)",
   "SortBy": "newest|ratingDesc|ratingAsc (đề xuất)"
 }</t>
  </si>
  <si>
    <t>[Ref: CAT-30 + CAT-31]
 200 OK:
 {
   "Rating": {
     "AvgRating": "decimal | null",
     "ReviewCount": "int"
   },
   "Items": [
     {
       "ReviewId": "uuid",
       "Rating": "int (1..5)",
       "Comment": "string",
       "CreatedAt": "datetime",
       "ReviewerName": "string | null"
     }
   ],
   "Page": "int",
   "PageSize": "int",
   "Total": "int"
 }</t>
  </si>
  <si>
    <t>[Ref: CAT-30 + CAT-31]
 Body lỗi: {"Code": "string", "Message": "string", "Errors": [{"Field": "string", "Message": "string"}]}
 400 VALIDATION_ERROR: Page, PageSize không hợp lệ; Rating ngoài 1..5; SortBy không thuộc danh sách; productId sai định dạng
 404 PRODUCT_NOT_FOUND: Sản phẩm không tồn tại hoặc đã xóa</t>
  </si>
  <si>
    <t>CAT-30, CAT-31</t>
  </si>
  <si>
    <t>WAL-06</t>
  </si>
  <si>
    <t>RefundOrderToWallet</t>
  </si>
  <si>
    <t>/api/v1/product/{productId}/status</t>
  </si>
  <si>
    <t>Hoàn tiền từ đơn hàng hủy/trả về lại ví nội bộ của buyer.</t>
  </si>
  <si>
    <t>Cập nhật trạng thái sản phẩm</t>
  </si>
  <si>
    <t>buyerId (UUID), orderId / cancellationId (UUID), amount (Decimal), reason (String)</t>
  </si>
  <si>
    <t>{"refundTransactionId": "UUID", "status": "SUCCESS", "newBalance": 850000}</t>
  </si>
  <si>
    <t>[Ref: CAT-03]
 Header:
 {"Authorization": "Bearer JWT"}
 Path:
 {"productId": "uuid"}
 Body:
 {
   "Status": "DRAFT|ACTIVE|INACTIVE",
   "StatusReason": "SELLER_PAUSED|DISCONTINUED|ADMIN_LOCKED|OTHER (bắt buộc khi INACTIVE, các trạng thái khác để trống)"
 }</t>
  </si>
  <si>
    <t>amount &gt; 0.</t>
  </si>
  <si>
    <t>[Ref: CAT-03]
 200 OK:
 {
   "ProductId": "uuid",
   "Status": "DRAFT|ACTIVE|INACTIVE",
   "StatusReason": "string | null",
   "PublishedAt": "datetime | null"
 }</t>
  </si>
  <si>
    <t>WalletRefunded</t>
  </si>
  <si>
    <t>COMMERCE_SERVICE / SAGA / ADMIN</t>
  </si>
  <si>
    <t>ORDER_NOT_PAID, REFUND_AMOUNT_EXCEEDS_ORDER_TOTAL</t>
  </si>
  <si>
    <t>[Ref: CAT-03]
 Body lỗi: {"Code": "string", "Message": "string", "Errors": [{"Field": "string", "Message": "string"}]}
 400 VALIDATION_ERROR: Status không hợp lệ; INACTIVE thiếu StatusReason; trạng thái khác mà có StatusReason
 401 UNAUTHORIZED: Thiếu token hoặc token hết hạn
 403 FORBIDDEN: Người gọi không phải chủ sản phẩm; hoặc Seller mở lại sản phẩm bị ADMIN_LOCKED (chỉ Admin được mở)
 404 PRODUCT_NOT_FOUND: Sản phẩm không tồn tại hoặc đã xóa
 409 PRODUCT_NOT_PUBLISHABLE: Chuyển ACTIVE nhưng không có variant ACTIVE, hoặc sản phẩm REGULAR có variant giá trống hoặc &lt;= 0
 409 PRODUCT_IN_AUCTION: Ẩn sản phẩm đang có phiên đấu giá mở (AUC-34 isOpen = true). Chỉ áp dụng nếu nhóm chốt phương án chặn</t>
  </si>
  <si>
    <t>Tiêu thụ event OrderCancelled từ Commerce Service inbox. Cộng tiền trực tiếp vào ví buyer. Ghi wallet_transactions (REFUND_CREDIT) và Outbox event.</t>
  </si>
  <si>
    <t>WAL-07</t>
  </si>
  <si>
    <t>RequestWithdrawal</t>
  </si>
  <si>
    <t>Người bán (Seller) tạo yêu cầu rút tiền từ ví về tài khoản ngân hàng.</t>
  </si>
  <si>
    <t>sellerId (UUID), amount (Decimal), bankName (String), bankAccountNumber (String), bankAccountHolder (String)</t>
  </si>
  <si>
    <t>{"withdrawalId": "UUID", "status": "PENDING", "netAmount": 45000, "fee": 5000}</t>
  </si>
  <si>
    <t>amount &gt;= 50,000 VND, availableBalance &gt;= amount, thông tin ngân hàng không rỗng.</t>
  </si>
  <si>
    <t>WithdrawalRequested</t>
  </si>
  <si>
    <t>SELLER</t>
  </si>
  <si>
    <t>INSUFFICIENT_AVAILABLE_BALANCE, MINIMUM_WITHDRAWAL_LIMIT_NOT_MET</t>
  </si>
  <si>
    <t>Chuyển số tiền rút từ balance khả dụng sang locked_balance. Tạo bản ghi withdrawal_requests với status = 'PENDING'.</t>
  </si>
  <si>
    <t>WAL-08</t>
  </si>
  <si>
    <t>/api/v1/inventory/stock-in</t>
  </si>
  <si>
    <t>ProcessWithdrawalRequest</t>
  </si>
  <si>
    <t>Admin/Staff duyệt hoặc từ chối yêu cầu rút tiền của Seller.</t>
  </si>
  <si>
    <t>thêm hàng vào kho, 1 list, kèm số lượng thêm, kèm chủng loại muốn thêm</t>
  </si>
  <si>
    <t>withdrawalId (UUID), adminId (UUID), action ("APPROVE" / "REJECT"), rejectReason (String)</t>
  </si>
  <si>
    <t>[Ref: FUL-02 + CAT-24]
 Header:
 {"Authorization": "Bearer JWT"}
 Body:
 {
   "Items": [
     {
       "SkuId": "uuid",
       "Quantity": "int (&gt; 0)"
     }
   ]
 }</t>
  </si>
  <si>
    <t>{"withdrawalId": "UUID", "status": "APPROVED / REJECTED", "processedBy": "UUID"}</t>
  </si>
  <si>
    <t>[Ref: FUL-02]
 200 OK:
 {
   "Items": [
     {
       "SkuId": "uuid",
       "AddedQuantity": "int",
       "StockQuantity": "int"
     }
   ]
 }</t>
  </si>
  <si>
    <t>withdrawalId tồn tại ở trạng thái PENDING.</t>
  </si>
  <si>
    <t>WithdrawalApproved / WithdrawalRejected</t>
  </si>
  <si>
    <t>ADMIN / SUPPORT_STAFF</t>
  </si>
  <si>
    <t>[Ref: FUL-02 + CAT-24]
 Body lỗi: {"Code": "string", "Message": "string", "Errors": [{"Field": "string", "Message": "string"}]}
 400 VALIDATION_ERROR: Items rỗng; Quantity &lt;= 0; quá 100 SkuId; SkuId trùng nhau
 401 UNAUTHORIZED: Thiếu token hoặc token hết hạn
 403 FORBIDDEN: Có SkuId không thuộc sản phẩm của seller đang gọi
 404 SKU_NOT_FOUND: Có SkuId không tồn tại hoặc đã xóa (Errors[] liệt kê, lấy từ NotFoundIds của CAT-24)
 503 CATALOG_UNAVAILABLE: Fulfillment không gọi được Catalog</t>
  </si>
  <si>
    <t>WITHDRAWAL_ALREADY_PROCESSED, UNAUTHORIZED_ADMIN_ACTION</t>
  </si>
  <si>
    <t>Nếu APPROVE: status = APPROVED, processed_by = adminId, trừ locked_balance, ghi wallet_transactions (WITHDRAWAL_DEBIT). Nếu REJECT: giải phóng locked_balance về balance.</t>
  </si>
  <si>
    <t>WAL-09</t>
  </si>
  <si>
    <t>GetTransactionHistory</t>
  </si>
  <si>
    <t>/api/v1/product/{productId}/variants</t>
  </si>
  <si>
    <t>Thêm biến thể cho sản phẩm</t>
  </si>
  <si>
    <t>Xem lịch sử biến động số dư sổ cái (Wallet Transactions).</t>
  </si>
  <si>
    <t>[Ref: CAT-07]
 Header:
 {"Authorization": "Bearer JWT"}
 Path:
 {"productId": "uuid"}
 Body:
 {
   "SkuCode": "string",
   "Name": "string",
   "Price": "decimal (&gt; 0)",
   "Currency": "string (mặc định VND)",
   "Attributes": [
     {
       "AttrName": "string",
       "AttrValue": "string"
     }
   ]
 }</t>
  </si>
  <si>
    <t>[Ref: CAT-07]
 201 Created:
 {
   "VariantId": "uuid",
   "SkuCode": "string",
   "Status": "ACTIVE|INACTIVE"
 }</t>
  </si>
  <si>
    <t>[Ref: CAT-07]
 Body lỗi: {"Code": "string", "Message": "string", "Errors": [{"Field": "string", "Message": "string"}]}
 400 VALIDATION_ERROR: Price trống hoặc &lt;= 0; Attributes dùng AttrName không khớp các variant khác; productId sai định dạng
 401 UNAUTHORIZED: Thiếu token hoặc token hết hạn
 403 FORBIDDEN: Người gọi không phải chủ sản phẩm và không phải Admin
 404 PRODUCT_NOT_FOUND: Sản phẩm không tồn tại hoặc đã xóa
 409 SKU_CODE_DUPLICATED: SkuCode đã tồn tại ở variant chưa xóa
 409 AUCTION_PRODUCT_SINGLE_VARIANT: Sản phẩm AUCTION không thêm được variant</t>
  </si>
  <si>
    <t>userId (UUID), type (Enum), fromDate (Timestamptz), toDate (Timestamptz), page (Int), pageSize (Int)</t>
  </si>
  <si>
    <t>{"data": [...], "total": 45, "page": 1, "pageSize": 20}</t>
  </si>
  <si>
    <t>page &gt; 0, pageSize &lt;= 100.</t>
  </si>
  <si>
    <t>INVALID_DATE_RANGE</t>
  </si>
  <si>
    <t>Sắp xếp giảm dần theo created_at. User chỉ xem được lịch sử ví của chính mình.</t>
  </si>
  <si>
    <t>/api/v1/variant/{variantId}</t>
  </si>
  <si>
    <t>xóa 1 biến thể</t>
  </si>
  <si>
    <t>WAL-10</t>
  </si>
  <si>
    <t>[Ref: CAT-11]
 Header:
 {"Authorization": "Bearer JWT"}
 Path:
 {"variantId": "uuid"}</t>
  </si>
  <si>
    <t>[Ref: CAT-11]
 204 No Content</t>
  </si>
  <si>
    <t>AdjustBalance</t>
  </si>
  <si>
    <t>[Ref: CAT-11]
 Body lỗi: {"Code": "string", "Message": "string", "Errors": [{"Field": "string", "Message": "string"}]}
 400 VALIDATION_ERROR: variantId sai định dạng
 401 UNAUTHORIZED: Thiếu token hoặc token hết hạn
 403 FORBIDDEN: Người gọi không phải chủ sản phẩm và không phải Admin
 404 VARIANT_NOT_FOUND: Variant không tồn tại hoặc đã xóa
 409 LAST_VARIANT: Đây là variant cuối cùng của sản phẩm (muốn bỏ thì xóa sản phẩm, dòng 114)
 409 VARIANT_HAS_ORDER: Variant đã phát sinh đơn hàng (HasOrder = true). Gợi ý đổi trạng thái variant sang INACTIVE</t>
  </si>
  <si>
    <t>Admin điều chỉnh số dư ví thủ công (Cộng/Trừ tiền kèm kiểm toán)</t>
  </si>
  <si>
    <t>Cập nhật thông tin của sản phẩm biến thể</t>
  </si>
  <si>
    <t>[Ref: CAT-08]
 Header:
 {"Authorization": "Bearer JWT"}
 Path:
 {"variantId": "uuid"}
 Body:
 {
   "Name": "string",
   "Price": "decimal (&gt; 0 với REGULAR, để trống với AUCTION)",
   "Currency": "string",
   "Attributes": [
     {
       "AttrName": "string",
       "AttrValue": "string"
     }
   ]
 }</t>
  </si>
  <si>
    <t>[Ref: CAT-08]
 200 OK:
 {
   "VariantId": "uuid",
   "ProductId": "uuid",
   "SkuCode": "string",
   "Name": "string",
   "Price": "decimal | null",
   "Currency": "string",
   "Status": "ACTIVE|INACTIVE",
   "Attributes": [
     {
       "AttrName": "string",
       "AttrValue": "string"
     }
   ],
   "UpdatedAt": "datetime"
 }</t>
  </si>
  <si>
    <t>[Ref: CAT-08]
 Body lỗi: {"Code": "string", "Message": "string", "Errors": [{"Field": "string", "Message": "string"}]}
 400 VALIDATION_ERROR: Body không có field nào; Price &lt;= 0 (REGULAR) hoặc có giá (AUCTION); Attributes dùng AttrName không khớp bộ AttrName của sản phẩm
 400 PRICE_REQUIRED: Sản phẩm REGULAR đang ACTIVE không được để Price trống
 401 UNAUTHORIZED: Thiếu token hoặc token hết hạn
 403 FORBIDDEN: Người gọi không phải chủ sản phẩm và không phải Admin
 404 VARIANT_NOT_FOUND: Variant không tồn tại hoặc đã xóa</t>
  </si>
  <si>
    <t>xem thông tin chi tiết của 1 biến thể</t>
  </si>
  <si>
    <t>[Ref: CAT-42 (mới)]
 Header:
 {"Authorization": "Bearer JWT"}
 Path:
 {"variantId": "uuid"}</t>
  </si>
  <si>
    <t>[Ref: CAT-42]
 200 OK:
 {
   "VariantId": "uuid",
   "ProductId": "uuid",
   "SkuCode": "string",
   "Name": "string",
   "Price": "decimal | null",
   "Currency": "string",
   "Status": "ACTIVE|INACTIVE",
   "StatusReason": "OUT_OF_STOCK|DISCONTINUED|OTHER | null",
   "IsDefault": "boolean",
   "HasOrder": "boolean",
   "Attributes": [
     {
       "AttrName": "string",
       "AttrValue": "string"
     }
   ],
   "Images": [
     {
       "ImageId": "uuid",
       "Url": "string",
       "IsActive": "boolean"
     }
   ]
 }</t>
  </si>
  <si>
    <t>[Ref: CAT-42]
 Body lỗi: {"Code": "string", "Message": "string", "Errors": [{"Field": "string", "Message": "string"}]}
 400 VALIDATION_ERROR: variantId sai định dạng
 401 UNAUTHORIZED: Thiếu token hoặc token hết hạn
 403 FORBIDDEN: Người gọi không phải chủ sản phẩm và không phải Admin
 404 VARIANT_NOT_FOUND: Variant không tồn tại hoặc đã xóa</t>
  </si>
  <si>
    <t>FUL-03</t>
  </si>
  <si>
    <t>/api/v1/variant/{variantId}/stock-in</t>
  </si>
  <si>
    <t>thêm biến thể của sản phảm vào kho</t>
  </si>
  <si>
    <t>[Ref: FUL-02 + CAT-23]
 Header:
 {"Authorization": "Bearer JWT"}
 Path:
 {"variantId": "uuid"}
 Body:
 {"Quantity": "int (&gt; 0)"}</t>
  </si>
  <si>
    <t>[Ref: FUL-02]
 200 OK:
 {
   "SkuId": "uuid",
   "AddedQuantity": "int",
   "StockQuantity": "int"
 }</t>
  </si>
  <si>
    <t>[Ref: FUL-02 + CAT-23]
 Body lỗi: {"Code": "string", "Message": "string", "Errors": [{"Field": "string", "Message": "string"}]}
 400 VALIDATION_ERROR: Quantity &lt;= 0; variantId sai định dạng
 401 UNAUTHORIZED: Thiếu token hoặc token hết hạn
 403 FORBIDDEN: Variant không thuộc sản phẩm của seller đang gọi
 404 VARIANT_NOT_FOUND: Variant không tồn tại hoặc đã xóa
 503 CATALOG_UNAVAILABLE: Fulfillment không gọi được Catalog</t>
  </si>
  <si>
    <t>/api/v1/categories</t>
  </si>
  <si>
    <t>Xem danh sách danh mục</t>
  </si>
  <si>
    <t>[Ref: CAT-19]
 Query:
 {
   "ParentId": "uuid (tùy chọn, lấy danh mục con của một danh mục)",
   "Tree": "boolean (true = dạng cây, false = danh sách phẳng)",
   "Keyword": "string"
 }</t>
  </si>
  <si>
    <t>[Ref: CAT-19]
 200 OK:
 {
   "Items": [
     {
       "CategoryId": "uuid",
       "Name": "string",
       "Level": "int (1..3)",
       "SortOrder": "int",
       "Children": "[ ... cùng cấu trúc, chỉ có khi Tree = true ]"
     }
   ]
 }</t>
  </si>
  <si>
    <t>[Ref: CAT-19]
 Body lỗi: {"Code": "string", "Message": "string", "Errors": [{"Field": "string", "Message": "string"}]}
 400 VALIDATION_ERROR: ParentId sai định dạng uuid; Tree không phải true hoặc false
 404 PARENT_NOT_FOUND: ParentId không tồn tại hoặc đã xóa</t>
  </si>
  <si>
    <t>Tạo danh mục mới, có thể truyền danh mục cha, nếu ko truyền nó là cha</t>
  </si>
  <si>
    <t>[Ref: CAT-15]
 Header:
 {"Authorization": "Bearer JWT"}
 Body:
 {
   "Name": "string",
   "Description": "string",
   "ParentId": "uuid (không gửi = danh mục gốc)",
   "SortOrder": "int"
 }</t>
  </si>
  <si>
    <t>[Ref: CAT-15]
 201 Created:
 {
   "CategoryId": "uuid",
   "Level": "int (1..3)"
 }</t>
  </si>
  <si>
    <t>[Ref: CAT-15]
 Body lỗi: {"Code": "string", "Message": "string", "Errors": [{"Field": "string", "Message": "string"}]}
 400 VALIDATION_ERROR: Name rỗng; ParentId sai định dạng
 400 CATEGORY_LEVEL_EXCEEDED: Danh mục mới vượt 3 cấp
 401 UNAUTHORIZED: Thiếu token hoặc token hết hạn
 403 FORBIDDEN: Người gọi không phải Admin
 404 PARENT_NOT_FOUND: ParentId không tồn tại hoặc đã xóa
 409 CATEGORY_NAME_DUPLICATED: Tên đã có trong cùng danh mục cha</t>
  </si>
  <si>
    <t>/api/v1/categories/{categoryId}</t>
  </si>
  <si>
    <t>Cập nhật danh mục</t>
  </si>
  <si>
    <t>[Ref: CAT-16]
 Header:
 {"Authorization": "Bearer JWT"}
 Path:
 {"categoryId": "uuid"}
 Body:
 {
   "Name": "string",
   "Description": "string",
   "ParentId": "uuid",
   "SortOrder": "int",
   "IsActive": "boolean"
 }</t>
  </si>
  <si>
    <t>[Ref: CAT-16]
 200 OK:
 {
   "CategoryId": "uuid",
   "ParentId": "uuid | null",
   "Name": "string",
   "Description": "string",
   "Level": "int (1..3)",
   "SortOrder": "int",
   "IsActive": "boolean",
   "UpdatedAt": "datetime"
 }</t>
  </si>
  <si>
    <t>[Ref: CAT-16]
 Body lỗi: {"Code": "string", "Message": "string", "Errors": [{"Field": "string", "Message": "string"}]}
 400 VALIDATION_ERROR: Body không có field nào; Name rỗng; id sai định dạng
 400 CATEGORY_LEVEL_EXCEEDED: Cây con sau khi chuyển vượt 3 cấp
 401 UNAUTHORIZED: Thiếu token hoặc token hết hạn
 403 FORBIDDEN: Người gọi không phải Admin
 404 CATEGORY_NOT_FOUND: Danh mục không tồn tại hoặc đã xóa
 404 PARENT_NOT_FOUND: ParentId mới không tồn tại hoặc đã xóa
 409 CATEGORY_NAME_DUPLICATED: Tên đã có trong cùng danh mục cha
 409 CATEGORY_CYCLE: Chuyển danh mục thành con cháu của chính nó</t>
  </si>
  <si>
    <t>Xóa mềm danh mục</t>
  </si>
  <si>
    <t>[Ref: CAT-17]
 Header:
 {"Authorization": "Bearer JWT"}
 Path:
 {"categoryId": "uuid"}</t>
  </si>
  <si>
    <t>[Ref: CAT-17]
 204 No Content</t>
  </si>
  <si>
    <t>[Ref: CAT-17]
 Body lỗi: {"Code": "string", "Message": "string", "Errors": [{"Field": "string", "Message": "string"}]}
 400 VALIDATION_ERROR: categoryId sai định dạng
 401 UNAUTHORIZED: Thiếu token hoặc token hết hạn
 403 FORBIDDEN: Người gọi không phải Admin
 404 CATEGORY_NOT_FOUND: Danh mục không tồn tại hoặc đã xóa
 409 CATEGORY_HAS_PRODUCTS: Danh mục còn sản phẩm chưa xóa
 409 CATEGORY_HAS_CHILDREN: Danh mục còn danh mục con chưa xóa</t>
  </si>
  <si>
    <t>xem danh sách các danh mục con và thông tin 1 danh mục cha</t>
  </si>
  <si>
    <t>[Ref: CAT-18]
 Path:
 {"categoryId": "uuid"}</t>
  </si>
  <si>
    <t>[Ref: CAT-18]
 200 OK:
 {
   "Category": {
     "CategoryId": "uuid",
     "ParentId": "uuid | null",
     "Name": "string",
     "Description": "string",
     "Level": "int (1..3)",
     "SortOrder": "int",
     "IsActive": "boolean"
   },
   "Parent": "{ CategoryId, Name, Level } | null (null nếu là danh mục gốc)",
   "Children": [
     {
       "CategoryId": "uuid",
       "Name": "string",
       "Level": "int"
     }
   ]
 }</t>
  </si>
  <si>
    <t>[Ref: CAT-18]
 Body lỗi: {"Code": "string", "Message": "string", "Errors": [{"Field": "string", "Message": "string"}]}
 400 VALIDATION_ERROR: categoryId sai định dạng
 404 CATEGORY_NOT_FOUND: Danh mục không tồn tại hoặc đã xóa</t>
  </si>
  <si>
    <t>Post</t>
  </si>
  <si>
    <t>/api/v1/product/auction</t>
  </si>
  <si>
    <t>thêm sản phẩm đấu giá</t>
  </si>
  <si>
    <t>[Ref: CAT-43 (mới)]
 Header:
 {"Authorization": "Bearer JWT"}
 Body:
 {
   "CategoryId": "uuid",
   "Name": "string",
   "Description": "string",
   "Brand": "string",
   "Specifications": "object",
   "Variant": {
     "SkuCode": "string",
     "Name": "string",
     "Attributes": [
       {
         "AttrName": "string",
         "AttrValue": "string"
       }
     ]
   }
 }</t>
  </si>
  <si>
    <t>[Ref: CAT-43]
 201 Created:
 {
   "ProductId": "uuid",
   "Status": "DRAFT",
   "SaleType": "AUCTION",
   "Variant": {
     "VariantId": "uuid",
     "SkuCode": "string"
   }
 }</t>
  </si>
  <si>
    <t>[Ref: CAT-43]
 Body lỗi: {"Code": "string", "Message": "string", "Errors": [{"Field": "string", "Message": "string"}]}
 400 VALIDATION_ERROR: Name rỗng; thiếu Variant hoặc Variant là danh sách; có gửi Price
 400 CATEGORY_INVALID: CategoryId không tồn tại, đã tắt hoặc đã xóa
 401 UNAUTHORIZED: Thiếu token hoặc token hết hạn
 403 SELLER_NOT_ALLOWED: Tài khoản chưa là Seller được duyệt; hoặc chưa đủ điểm uy tín bán đấu giá nếu chốt kiểm sớm
 409 SKU_CODE_DUPLICATED: SkuCode đã tồn tại ở variant chưa xóa
 503 USER_SERVICE_UNAVAILABLE: Không xác thực được seller</t>
  </si>
  <si>
    <t>thêm vào kho sản phẩm đấu giá(minh)</t>
  </si>
  <si>
    <t>/api/v1/product/aucction/search</t>
  </si>
  <si>
    <t>coi đươc các sản phẩm seller đó đã đấu giá, filter</t>
  </si>
  <si>
    <t>[Ref: CAT-06 + CAT-21]
 Header:
 {"Authorization": "Bearer JWT"}
 Query:
 {
   "Keyword": "string",
   "CategoryId": "uuid",
   "Status": "DRAFT|ACTIVE|INACTIVE",
   "Brand": "string",
   "SortBy": "newest|priceAsc|priceDesc|rating",
   "SortDir": "asc|desc",
   "Page": "int",
   "PageSize": "int (tối đa 100)"
 }</t>
  </si>
  <si>
    <t>[Ref: CAT-06 + CAT-21]
 Body lỗi: {"Code": "string", "Message": "string", "Errors": [{"Field": "string", "Message": "string"}]}
 400 VALIDATION_ERROR: Page, PageSize, SortBy không hợp lệ; CategoryId sai định dạng
 401 UNAUTHORIZED: Thiếu token hoặc token hết hạn
 403 FORBIDDEN: Người gọi không phải Seller hoặc Admin</t>
  </si>
  <si>
    <t>/api/v1/product/auctions</t>
  </si>
  <si>
    <t>coi đươc toàn bộ các sản phẩm seller đó đã đấu giá</t>
  </si>
  <si>
    <t>[Ref: CAT-06]
 Header:
 {"Authorization": "Bearer JWT"}
 Query:
 {
   "Status": "DRAFT|ACTIVE|INACTIVE",
   "Page": "int",
   "PageSize": "int (tối đa 100)"
 }</t>
  </si>
  <si>
    <t>[Ref: CAT-06]
 Body lỗi: {"Code": "string", "Message": "string", "Errors": [{"Field": "string", "Message": "string"}]}
 400 VALIDATION_ERROR: Page, PageSize không hợp lệ
 401 UNAUTHORIZED: Thiếu token hoặc token hết hạn
 403 FORBIDDEN: Người gọi không phải Seller hoặc Admin</t>
  </si>
  <si>
    <t>/api/v1/product/auction/{auctionId}</t>
  </si>
  <si>
    <t>coi thông tin chi tiết của sản phẩm đấu giá đó</t>
  </si>
  <si>
    <t>[Ref: AUC-35 + CAT-05]
 Header:
 {"Authorization": "Bearer JWT"}
 Path:
 {"auctionId": "uuid"}</t>
  </si>
  <si>
    <t>[Ref: AUC-35 + CAT-05]
 200 OK:
 {
   "Auction": {
     "AuctionId": "uuid",
     "Status": "DRAFT|SCHEDULED|RUNNING|ENDED|SETTLED|FAILED|CANCELLED",
     "StartingPriceAmount": "number",
     "BidStepAmount": "number",
     "CurrentPriceAmount": "number | null",
     "CurrentLeadingBidderMasked": "string | null",
     "BidCount": "int",
     "StartsAt": "datetime",
     "EndsAt": "datetime",
     "ExtensionCount": "int"
   },
   "Product": "(như dòng 111, CAT-05: Product, Category, Variants, Images, Rating)"
 }</t>
  </si>
  <si>
    <t>[Ref: AUC-35 + CAT-05]
 Body lỗi: {"Code": "string", "Message": "string", "Errors": [{"Field": "string", "Message": "string"}]}
 400 VALIDATION_ERROR: auctionId sai định dạng
 401 UNAUTHORIZED: Thiếu token hoặc token hết hạn
 403 FORBIDDEN: Người gọi không phải seller của phiên và không phải Admin
 404 AUCTION_NOT_FOUND: Phiên không tồn tại
 404 PRODUCT_NOT_FOUND: Sản phẩm của phiên không còn tồn tại
 503 AUCTION_SERVICE_UNAVAILABLE: Không gọi được Auction</t>
  </si>
  <si>
    <t>F3. đấu giá</t>
  </si>
  <si>
    <t>/api/v1/auctions</t>
  </si>
  <si>
    <t>User xem danh sách các phiên đấu giá</t>
  </si>
  <si>
    <t>{
 "page": "int (optional, default 1)",
 "pageSize": "int (optional, default 20, tối đa 100)",
 "status": "AuctionStatus (optional)"
}</t>
  </si>
  <si>
    <t>{
 "items": [
  {
   "auctionId": "UUID", "productId": "UUID", "skuId": "UUID", "sellerId": "UUID",
   "productName": "string",
   "primaryImageUrl": "string | null",
   "status": "AuctionStatus",
   "startPriceAmount": "number",
   "currentPriceAmount": "number | null",
   "bidCount": "int",
   "scheduledStartAt": "datetime",
   "scheduledEndAt": "datetime"
  }
 ],
 "total": "int", "page": "int", "pageSize": "int"
}</t>
  </si>
  <si>
    <t>[Ref: AUC-01]
Body lỗi: {"Code": "string", "Message": "string", "Errors": [{"Field": "string", "Message": "string"}]}
400 VALIDATION_ERROR: Page, PageSize không hợp lệ; Status không thuộc AuctionStatus</t>
  </si>
  <si>
    <t>Catalog trả ra thông tin tên và ảnh chính của nhiều product cùng lúc(Quỳnh)</t>
  </si>
  <si>
    <t>/api/v1/auctions/{auctionId}</t>
  </si>
  <si>
    <t>Xem chi tiết 1 phiên đấu giá</t>
  </si>
  <si>
    <t>Path { "auctionId": "UUID" }</t>
  </si>
  <si>
    <t>{
 "auctionId": "UUID", "productId": "UUID", "skuId": "UUID", "sellerId": "UUID",
 "productName": "string",
 "description": "string | null",
 "images": [ { "url": "string", "isPrimary": "boolean" } ],
 "specifications": "object | null",
 "status": "AuctionStatus",
 "startPriceAmount": "number",
 "bidStepAmount": "number",
 "currentPriceAmount": "number | null",
 "bidCount": "int",
 "leadingBidderDisplayName": "string | null",
 "scheduledStartAt": "datetime",
 "originalEndAt": "datetime",
 "scheduledEndAt": "datetime",
 "startedAt": "datetime | null",
 "endedAt": "datetime | null",
 "extensionCount": "int",
 "maxExtensionCount": "int",
 "antiSnipingExtensionMinutes": "int",
 "minReputationToBid": "int",
 "recreatedFromAuctionId": "UUID | null",
 "createdAt": "datetime"
}</t>
  </si>
  <si>
    <t>[Ref: AUC-02]
Body lỗi: {"Code": "string", "Message": "string", "Errors": [{"Field": "string", "Message": "string"}]}
400 VALIDATION_ERROR: auctionId sai định dạng UUID
404 AUCTION_NOT_FOUND: Phiên không tồn tại</t>
  </si>
  <si>
    <t>Seller tạo phiên đấu giá, chọn 1 sản phẩm có rồi</t>
  </si>
  <si>
    <t>Body
{
 "productId": "UUID",
 "skuId": "UUID",
 "startPriceAmount": "number",
 "bidStepAmount": "number (optional)",
 "scheduledStartAt": "datetime",
 "scheduledEndAt": "datetime"
}</t>
  </si>
  <si>
    <t>{
 "auctionId": "UUID", "productId": "UUID", "skuId": "UUID",
 "productName": "string",
 "status": "SCHEDULED",
 "startPriceAmount": "number",
 "bidStepAmount": "number",
 "scheduledStartAt": "datetime",
 "scheduledEndAt": "datetime",
 "minReputationToBid": "int",
 "antiSnipingExtensionMinutes": "int",
 "maxExtensionCount": "int",
 "createdAt": "datetime"
}</t>
  </si>
  <si>
    <t>[Ref: AUC-10]
Body lỗi: {"Code": "string", "Message": "string", "Errors": [{"Field": "string", "Message": "string"}]}
400 VALIDATION_ERROR: Giá khởi điểm &lt; 0; bước giá ≤ 0; giờ bắt đầu ở quá khứ; giờ kết thúc không sau giờ bắt đầu
401 UNAUTHORIZED: Thiếu token hoặc token hết hạn
403 SELLER_NOT_ELIGIBLE: Seller chưa được duyệt gian hàng hoặc điểm uy tín thấp hơn ngưỡng tổ chức đấu giá (mặc định 50)
409 PRODUCT_ALREADY_IN_AUCTION: Sản phẩm đã có phiên đang mở
409 INVENTORY_UNAVAILABLE: Giữ kho thất bại
422 PRODUCT_NOT_ELIGIBLE: Sản phẩm không tồn tại, không ACTIVE, không đúng chủ hoặc skuId không thuộc sản phẩm
422 INVALID_SCHEDULE: Giờ bắt đầu quá 30 ngày hoặc thời lượng phiên dưới 1 giờ
503 USER_SERVICE_UNAVAILABLE: Không gọi được User service</t>
  </si>
  <si>
    <t>User trả ra trạng thái duyệt gian hàng, uy tín của Seller(VINH)  - GRPC-04</t>
  </si>
  <si>
    <t>Seller chỉnh sửa phiên đấu giá(khi chưa bắt đầu)</t>
  </si>
  <si>
    <t>Path { "auctionId": "UUID" }
Body
{
 "startPriceAmount": "number (optional)",
 "bidStepAmount": "number (optional)",
 "scheduledStartAt": "datetime (optional)",
 "scheduledEndAt": "datetime (optional)"
}</t>
  </si>
  <si>
    <t>{
 "auctionId": "UUID",
 "status": "SCHEDULED",
 "startPriceAmount": "number",
 "bidStepAmount": "number",
 "scheduledStartAt": "datetime",
 "scheduledEndAt": "datetime",
 "updatedAt": "datetime"
}</t>
  </si>
  <si>
    <t>[Ref: AUC-11]
Body lỗi: {"Code": "string", "Message": "string", "Errors": [{"Field": "string", "Message": "string"}]}
400 VALIDATION_ERROR: auctionId sai định dạng UUID; không gửi field nào; giá khởi điểm &lt; 0; bước giá ≤ 0; giờ bắt đầu ở quá khứ; giờ kết thúc không sau giờ bắt đầu
401 UNAUTHORIZED: Thiếu token hoặc token hết hạn
403 FORBIDDEN: Người gọi không phải Seller của phiên
404 AUCTION_NOT_FOUND: Phiên không tồn tại
409 AUCTION_NOT_EDITABLE: Phiên đã bắt đầu, không còn ở DRAFT hoặc SCHEDULED
422 INVALID_SCHEDULE: Giờ bắt đầu quá 30 ngày hoặc thời lượng phiên dưới 1 giờ</t>
  </si>
  <si>
    <t>/api/v1/auctions/{auctionId}/cancel</t>
  </si>
  <si>
    <t>Seller hủy phiên đấu giá(khi phiên đấu giá chưa bắt đầu)</t>
  </si>
  <si>
    <t>Path { "auctionId": "UUID" }
Body { "reason": "string (optional)" }</t>
  </si>
  <si>
    <t>{
 "auctionId": "UUID",
 "fromStatus": "AuctionStatus",
 "status": "CANCELLED",
 "reason": "string | null",
 "cancelledAt": "datetime"
}</t>
  </si>
  <si>
    <t>[Ref: AUC-12]
Body lỗi: {"Code": "string", "Message": "string", "Errors": [{"Field": "string", "Message": "string"}]}
400 VALIDATION_ERROR: auctionId sai định dạng UUID; reason rỗng
401 UNAUTHORIZED: Thiếu token hoặc token hết hạn
403 FORBIDDEN: Người gọi không phải Seller của phiên
404 AUCTION_NOT_FOUND: Phiên không tồn tại
409 AUCTION_HAS_BIDS: Phiên đã có lượt đặt giá, chỉ Admin hủy được
409 CONCURRENT_UPDATE: Trạng thái phiên vừa bị thao tác khác thay đổi
422 INVALID_STATE_TRANSITION: Phiên không ở DRAFT, SCHEDULED hoặc RUNNING</t>
  </si>
  <si>
    <t>/api/v1/auctions/{auctionId}/recreate</t>
  </si>
  <si>
    <t>Tạo lại phiên mới cho sản phẩm ở phiên cũ (đã bị đấu giá thất bại)</t>
  </si>
  <si>
    <t>Path { "auctionId": "UUID (phiên cũ)" }
Body
{
 "startPriceAmount": "number",
 "bidStepAmount": "number (optional; bỏ trống thì dùng bước giá mặc định theo config)",
 "scheduledStartAt": "datetime",
 "scheduledEndAt": "datetime"
}</t>
  </si>
  <si>
    <t>{
 "auctionId": "UUID (phiên mới)",
 "recreatedFromAuctionId": "UUID",
 "productId": "UUID", "skuId": "UUID",
 "status": "SCHEDULED",
 "startPriceAmount": "number",
 "bidStepAmount": "number",
 "scheduledStartAt": "datetime",
 "scheduledEndAt": "datetime",
 "createdAt": "datetime"
}</t>
  </si>
  <si>
    <t>[Ref: AUC-13]
Body lỗi: {"Code": "string", "Message": "string", "Errors": [{"Field": "string", "Message": "string"}]}
400 VALIDATION_ERROR: auctionId sai định dạng UUID; giá khởi điểm &lt; 0; bước giá ≤ 0; giờ bắt đầu ở quá khứ; giờ kết thúc không sau giờ bắt đầu
401 UNAUTHORIZED: Thiếu token hoặc token hết hạn
403 FORBIDDEN: Phiên cũ không thuộc Seller đang gọi
403 SELLER_NOT_ELIGIBLE: Điểm uy tín thấp hơn ngưỡng tổ chức đấu giá (mặc định 50)
404 AUCTION_NOT_FOUND: Phiên cũ không tồn tại
409 PRODUCT_ALREADY_IN_AUCTION: Sản phẩm đã có phiên đang mở
409 INVENTORY_UNAVAILABLE: Giữ kho thất bại
422 INVALID_RECREATE_SOURCE: Phiên cũ không ở trạng thái FAILED
422 PRODUCT_NOT_ELIGIBLE: Sản phẩm không còn hợp lệ
422 INVALID_SCHEDULE: Giờ bắt đầu quá 30 ngày hoặc thời lượng phiên dưới 1 giờ
503 USER_SERVICE_UNAVAILABLE: Không gọi được User service</t>
  </si>
  <si>
    <t>User trả ra trạng thái duyệt gian hàng, uy tín của Seller(VINH) - GRPC-04</t>
  </si>
  <si>
    <t>User trả ra trạng thái duyệt gian hàng, uy tín của Seller(VINH) - USER-08</t>
  </si>
  <si>
    <t>Catalog trả ra product của phiên cũ còn ACTIVE và còn thuộc Seller(QUỲNH)  CAT-25</t>
  </si>
  <si>
    <t>/api/v1/auctions/{auctionId}/status-history</t>
  </si>
  <si>
    <t>Nhật kí đổi trạng thái của từng auction</t>
  </si>
  <si>
    <t>{
 "auctionId": "UUID",
 "items": [
  {
   "id": "UUID",
   "fromStatus": "AuctionStatus | null",
   "toStatus": "AuctionStatus",
   "reason": "string | null",
   "changedBy": "UUID | null",
   "changedAt": "datetime"
  }
 ]
}</t>
  </si>
  <si>
    <t>[Ref: AUC-18]
Body lỗi: {"Code": "string", "Message": "string", "Errors": [{"Field": "string", "Message": "string"}]}
400 VALIDATION_ERROR: auctionId sai định dạng UUID; Page, PageSize không hợp lệ
401 UNAUTHORIZED: Thiếu token hoặc token hết hạn
403 FORBIDDEN: Người gọi không phải Admin hoặc Staff
404 AUCTION_NOT_FOUND: Phiên không tồn tại</t>
  </si>
  <si>
    <t>/api/v1/seller/auctions</t>
  </si>
  <si>
    <t>Seller xem toàn bộ phiên đấu giá của mình</t>
  </si>
  <si>
    <t>Query
{
 "page": "int (optional, default 1)",
 "pageSize": "int (optional, default 20, tối đa 100)",
 "status": "AuctionStatus (optional)"
}</t>
  </si>
  <si>
    <t>{
 "items": [
  {
   "auctionId": "UUID", "productId": "UUID", "skuId": "UUID",
   "productName": "string",
   "primaryImageUrl": "string | null",
   "status": "AuctionStatus",
   "startPriceAmount": "number",
   "currentPriceAmount": "number | null",
   "bidCount": "int",
   "scheduledStartAt": "datetime",
   "scheduledEndAt": "datetime",
   "createdAt": "datetime"
  }
 ],
 "total": "int", "page": "int", "pageSize": "int"
}</t>
  </si>
  <si>
    <t>[Ref: AUC-14]
Body lỗi: {"Code": "string", "Message": "string", "Errors": [{"Field": "string", "Message": "string"}]}
400 VALIDATION_ERROR: Page, PageSize không hợp lệ; Status không thuộc AuctionStatus
401 UNAUTHORIZED: Thiếu token hoặc token hết hạn
403 FORBIDDEN: Người gọi không phải Seller</t>
  </si>
  <si>
    <t>Catalog trả ra tên và ảnh chính của nhiều product cùng lúc(Quỳnh) CAT-41</t>
  </si>
  <si>
    <t>/api/v1/admin/auctions/{auctionId}/force-cancel</t>
  </si>
  <si>
    <t>Admin cưỡng chế hủy phiên đấu giá khi có bất thường</t>
  </si>
  <si>
    <t>Path { "auctionId": "UUID" }
Body { "reason": "string (bắt buộc)" }</t>
  </si>
  <si>
    <t>{
 "auctionId": "UUID",
 "fromStatus": "AuctionStatus",
 "status": "CANCELLED",
 "reason": "string",
 "cancelledBy": "UUID",
 "cancelledAt": "datetime"
}</t>
  </si>
  <si>
    <t>[Ref: AUC-15]
Body lỗi: {"Code": "string", "Message": "string", "Errors": [{"Field": "string", "Message": "string"}]}
400 VALIDATION_ERROR: auctionId sai định dạng UUID; reason rỗng
401 UNAUTHORIZED: Thiếu token hoặc token hết hạn
403 FORBIDDEN: Người gọi không phải Admin (Support Staff không có quyền này)
404 AUCTION_NOT_FOUND: Phiên không tồn tại
409 CONCURRENT_UPDATE: Trạng thái phiên vừa bị thao tác khác thay đổi
422 INVALID_STATE_TRANSITION: Phiên không ở DRAFT, SCHEDULED hoặc RUNNING (từ ENDED trở đi không hủy được)</t>
  </si>
  <si>
    <t>Notification cho tất cả người đã bid và seller kèm lý do(Duy)</t>
  </si>
  <si>
    <t>/api/v1/admin/auctions/{auctionId}/saga</t>
  </si>
  <si>
    <t>Admin theo dõi xem phiên đang ở bước nào của luồng đơn hàng(sau khi chốt người thắng -&gt; commerce)</t>
  </si>
  <si>
    <t>{
 "auctionId": "UUID",
 "sagaType": "string",
 "currentState": "string",
 "stateData": "object",
 "createdAt": "datetime",
 "updatedAt": "datetime"
}</t>
  </si>
  <si>
    <t>[Ref: AUC-19]
Body lỗi: {"Code": "string", "Message": "string", "Errors": [{"Field": "string", "Message": "string"}]}
400 VALIDATION_ERROR: auctionId sai định dạng UUID
401 UNAUTHORIZED: Thiếu token hoặc token hết hạn
403 FORBIDDEN: Người gọi không phải Admin hoặc Staff
404 AUCTION_NOT_FOUND: Phiên không tồn tại hoặc không có saga (không có người thắng)</t>
  </si>
  <si>
    <t xml:space="preserve">/api/v1/admin/auction-configs </t>
  </si>
  <si>
    <t>Xem các luật đang hiệu lực (tham chiếu tới userSerive để lấy field uy tín seller,buyer, số lần gia hạn,gia hạn bao nhiêu phút,.....)</t>
  </si>
  <si>
    <t>{
 "items": [
  {
   "configKey": "string",
   "configValue": "json",
   "description": "string | null",
   "version": "int",
   "updatedBy": "UUID | null",
   "updatedAt": "datetime"
  }
 ]
}</t>
  </si>
  <si>
    <t>[Ref: AUC-16]
Body lỗi: {"Code": "string", "Message": "string", "Errors": [{"Field": "string", "Message": "string"}]}
401 UNAUTHORIZED: Thiếu token hoặc token hết hạn
403 FORBIDDEN: Người gọi không phải Admin</t>
  </si>
  <si>
    <t>User trả ra các cấu hình uy tín (ngưỡng tổ chức đấu giá, ngưỡng đặt giá, mức phạt)(VINH) - ADMIN-12</t>
  </si>
  <si>
    <t>/api/v1/admin/auction-configs/{key}</t>
  </si>
  <si>
    <t>Cập nhật cấu hình đấu giá(chỉ ảnh hưởng auction tương lai )</t>
  </si>
  <si>
    <t>Path { "key": "string" }
Body
{
 "configValue": "json",
 "description": "string (optional)"
}</t>
  </si>
  <si>
    <t>{
 "configKey": "string",
 "configValue": "json",
 "description": "string | null",
 "version": "int",
 "isActive": "boolean",
 "updatedBy": "UUID | null",
 "createdAt": "datetime",
 "updatedAt": "datetime"
}</t>
  </si>
  <si>
    <t>[Ref: AUC-17]
Body lỗi: {"Code": "string", "Message": "string", "Errors": [{"Field": "string", "Message": "string"}]}
400 VALIDATION_ERROR: configValue sai kiểu hoặc giá trị không hợp lệ theo từng key (số nguyên ≥ 0, bước giá &gt; 0...)
401 UNAUTHORIZED: Thiếu token hoặc token hết hạn
403 FORBIDDEN: Người gọi không phải Admin
404 NOT_FOUND: key không tồn tại
409 CONFLICT: Xung đột khi cập nhật, mỗi key chỉ có một dòng đang hiệu lực</t>
  </si>
  <si>
    <t>/api/v1/auctions/{auctionId}/bids</t>
  </si>
  <si>
    <t xml:space="preserve">Buyer đặt giá cho một phiên đấu giá </t>
  </si>
  <si>
    <t>Path { "auctionId": "UUID" }
Body { "amount": "number" }</t>
  </si>
  <si>
    <t>{
 "bidId": "UUID",
 "auctionId": "UUID",
 "bidSeq": "int",
 "amount": "number",
 "placedAt": "datetime",
 "currentPriceAmount": "number",
 "bidCount": "int",
 "scheduledEndAt": "datetime",
 "extensionCount": "int"
}</t>
  </si>
  <si>
    <t>[Ref: AUC-07]
Body lỗi: {"Code": "string", "Message": "string", "Errors": [{"Field": "string", "Message": "string"}]}
400 VALIDATION_ERROR: auctionId sai định dạng UUID; thiếu Idempotency-Key hoặc If-Match; amount ≤ 0 hoặc quá 2 chữ số thập phân
401 UNAUTHORIZED: Thiếu token hoặc token hết hạn
403 BIDDER_NOT_ELIGIBLE: Điểm uy tín thấp hơn ngưỡng đặt giá (mặc định 40) hoặc tài khoản bị khóa
404 AUCTION_NOT_FOUND: Phiên không tồn tại
409 CONCURRENT_UPDATE: If-Match lệch rowVersion hoặc có người đặt giá trước
410 AUCTION_ENDED: Phiên đã kết thúc (ENDED, SETTLED, FAILED, CANCELLED) hoặc quá giờ kết thúc
422 AUCTION_NOT_RUNNING: Phiên chưa chạy (DRAFT, SCHEDULED)
422 BID_TOO_LOW: Giá đặt thấp hơn mức tối thiểu (details: minNextBidAmount)
422 IDEMPOTENCY_KEY_REUSED: Cùng Idempotency-Key nhưng nội dung request khác
503 USER_SERVICE_UNAVAILABLE: Không gọi được User service</t>
  </si>
  <si>
    <t>User trả ra điểm uy tín, trạng thái account Buyer và ngưỡng đặt giá để check đạt(VINH) - GRPC-01</t>
  </si>
  <si>
    <t>Notification cho người bị vượt giá,seller khi có bid mới(Duy)</t>
  </si>
  <si>
    <t>User xem được lịch sử đặt giá của phiên đang tham gia</t>
  </si>
  <si>
    <t>Path { "auctionId": "UUID" }
Query
{
 "page": "int (optional, default 1)",
 "pageSize": "int (optional, default 20, tối đa 100)"
}</t>
  </si>
  <si>
    <t>{
 "items": [
  {
   "bidId": "UUID",
   "sequenceNo": "int",
   "bidderId": "UUID",
   "bidderDisplayName": "string",
   "amount": "number",
   "placedAt": "datetime",
   "isOutbid": "boolean",
   "isWinning": "boolean",
   "isInvalidated": "boolean"
  }
 ],
 "total": "int", "page": "int", "pageSize": "int"
}</t>
  </si>
  <si>
    <t>[Ref: AUC-03]
Body lỗi: {"Code": "string", "Message": "string", "Errors": [{"Field": "string", "Message": "string"}]}
400 VALIDATION_ERROR: auctionId sai định dạng UUID; Page, PageSize không hợp lệ
404 AUCTION_NOT_FOUND: Phiên không tồn tại</t>
  </si>
  <si>
    <t>Trả ra tên của danh sách bider(Vinh) GRPC-02</t>
  </si>
  <si>
    <t>/api/v1/me/bids</t>
  </si>
  <si>
    <t>Buyer coi được các phiên đấu giá mà bản thân đã từng tham gia</t>
  </si>
  <si>
    <t>{
 "items": [
  {
   "auctionId": "UUID", "productId": "UUID",
   "productName": "string",
   "primaryImageUrl": "string | null",
   "auctionStatus": "AuctionStatus",
   "myHighestBidAmount": "number",
   "currentPriceAmount": "number | null",
   "isLeading": "boolean",
   "endsAt": "datetime",
   "lastBidAt": "datetime"
  }
 ],
 "total": "int", "page": "int", "pageSize": "int"
}</t>
  </si>
  <si>
    <t>[Ref: AUC-08]
Body lỗi: {"Code": "string", "Message": "string", "Errors": [{"Field": "string", "Message": "string"}]}
400 VALIDATION_ERROR: Page, PageSize không hợp lệ; Status không thuộc AuctionStatus
401 UNAUTHORIZED: Thiếu token hoặc token hết hạn</t>
  </si>
  <si>
    <t>/api/v1/auctions/{auctionId}/result</t>
  </si>
  <si>
    <t>Xem kết quả của phiên đấu giá</t>
  </si>
  <si>
    <t>{
 "auctionId": "UUID",
 "status": "AuctionStatus",
 "hasWinner": "boolean",
 "winnerId": "UUID | null",
 "winnerDisplayName": "string | null",
 "sellerId": "UUID",
 "winningBidId": "UUID | null",
 "finalPriceAmount": "number | null",
 "determinedAt": "datetime",
 "orderId": "UUID | null",
 "paymentDeadlineAt": "datetime | null",
 "paidAt": "datetime | null",
}</t>
  </si>
  <si>
    <t>[Ref: AUC-09]
Body lỗi: {"Code": "string", "Message": "string", "Errors": [{"Field": "string", "Message": "string"}]}
400 VALIDATION_ERROR: auctionId sai định dạng UUID
401 UNAUTHORIZED: Thiếu token hoặc token hết hạn
403 FORBIDDEN: Người gọi không phải người thắng, Seller của phiên hoặc Admin
404 AUCTION_NOT_FOUND: Phiên không tồn tại</t>
  </si>
  <si>
    <t>gRPC</t>
  </si>
  <si>
    <t>Auction.CheckPaymentDeadline</t>
  </si>
  <si>
    <t>Commerce gọi khi người thắng nhập địa chỉ hoặc thanh toán, để kiểm tra còn trong hạn thanh toán không</t>
  </si>
  <si>
    <t>{
 "auctionId": "UUID"
}</t>
  </si>
  <si>
    <t>{
 "auctionId": "UUID",
 "status": "",
 "paymentDeadlineAt": "datetime | null",
 "isWithinDeadline": "boolean"
}</t>
  </si>
  <si>
    <t>[Ref: AUC-20]
NOT_FOUND: Phiên không tồn tại</t>
  </si>
  <si>
    <t>/internal/v1/auctions/status?productId={productId}</t>
  </si>
  <si>
    <t>Catalog lấy trạng thái phiên đấu giá gần nhất của một sản phẩm, để ẩn sản phẩm khỏi kho ảo khi đã bán xong</t>
  </si>
  <si>
    <t>{ "productId": "UUID" }</t>
  </si>
  <si>
    <t>{
 "productId": "UUID",
 "auctionId": "UUID | null",
 "status": "",
 "isOpen": "boolean",
 "isSold": "boolean"
}</t>
  </si>
  <si>
    <t>[Ref: AUC-34]
Body lỗi: {"Code": "string", "Message": "string", "Errors": [{"Field": "string", "Message": "string"}]}
400 VALIDATION_ERROR: productId sai định dạng UUID
403 FORBIDDEN: Người gọi không phải service nội bộ Catalog</t>
  </si>
  <si>
    <t>/internal/v1/auctions/{auctionId}/summary</t>
  </si>
  <si>
    <t xml:space="preserve">	Catalog lấy thông tin chi tiết một phiên: người đang trả giá cao nhất, giá khởi điểm, giá hiện tại, bước giá</t>
  </si>
  <si>
    <t>{
 "auctionId": "UUID",
 "productId": "UUID",
 "sellerId": "UUID",
 "status": ",
 "startingPriceAmount": "number",
 "bidStepAmount": "number",
 "currentPriceAmount": "number | null",
 "currentLeadingBidderId": "UUID | null",
 "currentLeadingBidderMasked": "string | null",
 "bidCount": "int",
 "startsAt": "datetime",
 "endsAt": "datetime",
 "extensionCount": "int"
}</t>
  </si>
  <si>
    <t>[Ref: AUC-35]
Body lỗi: {"Code": "string", "Message": "string", "Errors": [{"Field": "string", "Message": "string"}]}
400 VALIDATION_ERROR: auctionId sai định dạng UUID
403 FORBIDDEN: Người gọi không phải service nội bộ Catalog
404 AUCTION_NOT_FOUND: Phiên không tồn tại</t>
  </si>
  <si>
    <t>F5. thanh toán</t>
  </si>
  <si>
    <t>/api/v1/wallets/me</t>
  </si>
  <si>
    <t>Lấy thông tin ví và số dư khả dụng/bị khóa của cá nhân</t>
  </si>
  <si>
    <t>/api/v1/wallets/topups/vnpay</t>
  </si>
  <si>
    <t>Tạo yêu cầu nạp tiền vào ví qua cổng VNPay và lấy URL thanh toán</t>
  </si>
  <si>
    <t>/api/v1/wallets/vnpay/ipn</t>
  </si>
  <si>
    <t>Webhook nhận kết quả IPN từ VNPay (Nạp ví hoặc Thanh toán đơn trực tiếp)</t>
  </si>
  <si>
    <t>/api/v1/wallets/checkout/direct</t>
  </si>
  <si>
    <t>Tạo phiên thanh toán trực tiếp qua cổng VNPay cho đơn hàng (bỏ qua số dư ví)</t>
  </si>
  <si>
    <t>/api/v1/wallets/withdrawals</t>
  </si>
  <si>
    <t>Người bán (Seller) tạo yêu cầu rút tiền từ ví về tài khoản ngân hàng</t>
  </si>
  <si>
    <t>/api/v1/admin/wallets/withdrawals/{id}</t>
  </si>
  <si>
    <t>Quản trị viên duyệt hoặc từ chối yêu cầu rút tiền của Seller</t>
  </si>
  <si>
    <t>/api/v1/wallets/transactions</t>
  </si>
  <si>
    <t>Tra cứu lịch sử biến động sổ cái (wallet_transactions) cá nhân</t>
  </si>
  <si>
    <t>/api/v1/admin/wallets/{walletId}/adjustments</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</si>
</sst>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b/>
      <sz val="10.0"/>
      <color rgb="FFFFFFFF"/>
      <name val="Roboto"/>
    </font>
    <font>
      <b/>
      <sz val="17.0"/>
      <color rgb="FF000000"/>
      <name val="Roboto"/>
    </font>
    <font/>
    <font>
      <color theme="1"/>
      <name val="Arial"/>
      <scheme val="minor"/>
    </font>
    <font>
      <b/>
      <sz val="9.0"/>
      <color rgb="FF193366"/>
      <name val="Roboto"/>
    </font>
    <font>
      <b/>
      <sz val="10.0"/>
      <color rgb="FF000000"/>
      <name val="Roboto"/>
    </font>
    <font>
      <b/>
      <sz val="9.0"/>
      <color rgb="FF191C21"/>
      <name val="Roboto"/>
    </font>
    <font>
      <sz val="10.0"/>
      <color rgb="FF000000"/>
      <name val="Roboto"/>
    </font>
    <font>
      <sz val="9.0"/>
      <color rgb="FF191C21"/>
      <name val="Roboto"/>
    </font>
    <font>
      <b/>
      <sz val="10.0"/>
      <color theme="1"/>
      <name val="Arial"/>
      <scheme val="minor"/>
    </font>
    <font>
      <b/>
      <sz val="11.0"/>
      <color theme="1"/>
      <name val="Arial"/>
      <scheme val="minor"/>
    </font>
    <font>
      <sz val="10.0"/>
      <color theme="1"/>
      <name val="Arial"/>
    </font>
    <font>
      <sz val="10.0"/>
      <color rgb="FF000000"/>
      <name val="Arial"/>
    </font>
    <font>
      <sz val="10.0"/>
      <color rgb="FF191C21"/>
      <name val="Arial"/>
    </font>
    <font>
      <b/>
      <sz val="10.0"/>
      <color theme="1"/>
      <name val="Arial"/>
    </font>
    <font>
      <b/>
      <sz val="10.0"/>
      <color rgb="FF000000"/>
      <name val="Arial"/>
    </font>
    <font>
      <sz val="11.0"/>
      <color rgb="FF000000"/>
      <name val="Roboto"/>
    </font>
    <font>
      <b/>
      <color rgb="FFFFFFFF"/>
      <name val="Arial"/>
    </font>
    <font>
      <b/>
      <color theme="1"/>
      <name val="Arial"/>
    </font>
    <font>
      <color theme="1"/>
      <name val="Arial"/>
    </font>
    <font>
      <color theme="1"/>
      <name val="Consolas"/>
    </font>
    <font>
      <b/>
      <sz val="11.0"/>
      <color theme="1"/>
      <name val="Arial"/>
    </font>
    <font>
      <b/>
      <sz val="11.0"/>
      <color rgb="FF000000"/>
      <name val="Arial"/>
    </font>
    <font>
      <b/>
      <color theme="1"/>
      <name val="Arial"/>
      <scheme val="minor"/>
    </font>
    <font>
      <b/>
      <sz val="10.0"/>
      <color rgb="FF000000"/>
      <name val="Arial"/>
      <scheme val="minor"/>
    </font>
    <font>
      <b/>
      <color rgb="FF1F1F1F"/>
      <name val="&quot;Google Sans Text&quot;"/>
    </font>
    <font>
      <b/>
      <color rgb="FF434343"/>
      <name val="Arial"/>
      <scheme val="minor"/>
    </font>
    <font>
      <sz val="11.0"/>
      <color theme="1"/>
      <name val="Arial"/>
    </font>
    <font>
      <b/>
      <sz val="14.0"/>
      <color theme="1"/>
      <name val="Arial"/>
      <scheme val="minor"/>
    </font>
    <font>
      <color rgb="FF000000"/>
      <name val="Menlo"/>
    </font>
    <font>
      <color rgb="FF000000"/>
      <name val="Arial"/>
    </font>
    <font>
      <b/>
      <sz val="14.0"/>
      <color rgb="FF000000"/>
      <name val="Roboto"/>
    </font>
    <font>
      <sz val="9.0"/>
      <color theme="1"/>
      <name val="Arial"/>
    </font>
    <font>
      <sz val="11.0"/>
      <color theme="1"/>
      <name val="Arial"/>
      <scheme val="minor"/>
    </font>
  </fonts>
  <fills count="24">
    <fill>
      <patternFill patternType="none"/>
    </fill>
    <fill>
      <patternFill patternType="lightGray"/>
    </fill>
    <fill>
      <patternFill patternType="solid">
        <fgColor rgb="FF2A4678"/>
        <bgColor rgb="FF2A4678"/>
      </patternFill>
    </fill>
    <fill>
      <patternFill patternType="solid">
        <fgColor rgb="FF1E3989"/>
        <bgColor rgb="FF1E3989"/>
      </patternFill>
    </fill>
    <fill>
      <patternFill patternType="solid">
        <fgColor rgb="FFF8F9FA"/>
        <bgColor rgb="FFF8F9FA"/>
      </patternFill>
    </fill>
    <fill>
      <patternFill patternType="solid">
        <fgColor rgb="FF8989EB"/>
        <bgColor rgb="FF8989EB"/>
      </patternFill>
    </fill>
    <fill>
      <patternFill patternType="solid">
        <fgColor rgb="FF63D297"/>
        <bgColor rgb="FF63D297"/>
      </patternFill>
    </fill>
    <fill>
      <patternFill patternType="solid">
        <fgColor rgb="FFFFFFFF"/>
        <bgColor rgb="FFFFFFFF"/>
      </patternFill>
    </fill>
    <fill>
      <patternFill patternType="solid">
        <fgColor rgb="FFE8E7FC"/>
        <bgColor rgb="FFE8E7FC"/>
      </patternFill>
    </fill>
    <fill>
      <patternFill patternType="solid">
        <fgColor rgb="FF1F3864"/>
        <bgColor rgb="FF1F3864"/>
      </patternFill>
    </fill>
    <fill>
      <patternFill patternType="solid">
        <fgColor rgb="FFCCCCCC"/>
        <bgColor rgb="FFCCCCCC"/>
      </patternFill>
    </fill>
    <fill>
      <patternFill patternType="solid">
        <fgColor rgb="FF8BC34A"/>
        <bgColor rgb="FF8BC34A"/>
      </patternFill>
    </fill>
    <fill>
      <patternFill patternType="solid">
        <fgColor rgb="FFEEF7E3"/>
        <bgColor rgb="FFEEF7E3"/>
      </patternFill>
    </fill>
    <fill>
      <patternFill patternType="solid">
        <fgColor rgb="FFFFFF00"/>
        <bgColor rgb="FFFFFF00"/>
      </patternFill>
    </fill>
    <fill>
      <patternFill patternType="solid">
        <fgColor rgb="FFF0F0F0"/>
        <bgColor rgb="FFF0F0F0"/>
      </patternFill>
    </fill>
    <fill>
      <patternFill patternType="solid">
        <fgColor rgb="FFE8F0FE"/>
        <bgColor rgb="FFE8F0FE"/>
      </patternFill>
    </fill>
    <fill>
      <patternFill patternType="solid">
        <fgColor rgb="FFB7B7B7"/>
        <bgColor rgb="FFB7B7B7"/>
      </patternFill>
    </fill>
    <fill>
      <patternFill patternType="solid">
        <fgColor rgb="FFF9F8FF"/>
        <bgColor rgb="FFF9F8FF"/>
      </patternFill>
    </fill>
    <fill>
      <patternFill patternType="solid">
        <fgColor rgb="FFCCA677"/>
        <bgColor rgb="FFCCA677"/>
      </patternFill>
    </fill>
    <fill>
      <patternFill patternType="solid">
        <fgColor rgb="FFF8F2EB"/>
        <bgColor rgb="FFF8F2EB"/>
      </patternFill>
    </fill>
    <fill>
      <patternFill patternType="solid">
        <fgColor rgb="FFF4F7F9"/>
        <bgColor rgb="FFF4F7F9"/>
      </patternFill>
    </fill>
    <fill>
      <patternFill patternType="solid">
        <fgColor rgb="FFF46524"/>
        <bgColor rgb="FFF46524"/>
      </patternFill>
    </fill>
    <fill>
      <patternFill patternType="solid">
        <fgColor rgb="FFFFE6DD"/>
        <bgColor rgb="FFFFE6DD"/>
      </patternFill>
    </fill>
    <fill>
      <patternFill patternType="solid">
        <fgColor rgb="FFF4F7FA"/>
        <bgColor rgb="FFF4F7FA"/>
      </patternFill>
    </fill>
  </fills>
  <borders count="24">
    <border/>
    <border>
      <left style="thin">
        <color rgb="FFCCD3DD"/>
      </left>
      <right style="thin">
        <color rgb="FFE0E5ED"/>
      </right>
      <top style="thin">
        <color rgb="FFCCD3DD"/>
      </top>
      <bottom style="thin">
        <color rgb="FFE0E5ED"/>
      </bottom>
    </border>
    <border>
      <left style="thin">
        <color rgb="FFBFC6D1"/>
      </left>
      <right style="thin">
        <color rgb="FFD8DDE5"/>
      </right>
      <top style="thin">
        <color rgb="FFBFC6D1"/>
      </top>
      <bottom style="thin">
        <color rgb="FFD8DDE5"/>
      </bottom>
    </border>
    <border>
      <left style="thin">
        <color rgb="FFE0E5ED"/>
      </left>
    </border>
    <border>
      <left style="thin">
        <color rgb="FFE0E5ED"/>
      </left>
      <right style="thin">
        <color rgb="FFE0E5ED"/>
      </right>
      <top style="thin">
        <color rgb="FFCCD3DD"/>
      </top>
      <bottom style="thin">
        <color rgb="FFE0E5ED"/>
      </bottom>
    </border>
    <border>
      <left style="thin">
        <color rgb="FFD8DDE5"/>
      </left>
      <right style="thin">
        <color rgb="FFD8DDE5"/>
      </right>
      <top style="thin">
        <color rgb="FFBFC6D1"/>
      </top>
      <bottom style="thin">
        <color rgb="FFD8DDE5"/>
      </bottom>
    </border>
    <border>
      <right style="thin">
        <color rgb="FFE0E5ED"/>
      </right>
    </border>
    <border>
      <left style="thin">
        <color rgb="FFE0E5ED"/>
      </left>
      <right style="thin">
        <color rgb="FFCCD3DD"/>
      </right>
      <top style="thin">
        <color rgb="FFCCD3DD"/>
      </top>
      <bottom style="thin">
        <color rgb="FFE0E5ED"/>
      </bottom>
    </border>
    <border>
      <left style="thin">
        <color rgb="FFD8DDE5"/>
      </left>
      <right style="thin">
        <color rgb="FFBFC6D1"/>
      </right>
      <top style="thin">
        <color rgb="FFBFC6D1"/>
      </top>
      <bottom style="thin">
        <color rgb="FFD8DDE5"/>
      </bottom>
    </border>
    <border>
      <left style="thin">
        <color rgb="FFCCD3DD"/>
      </left>
      <right style="thin">
        <color rgb="FFE0E5ED"/>
      </right>
      <top style="thin">
        <color rgb="FFE0E5ED"/>
      </top>
      <bottom style="thin">
        <color rgb="FFE0E5ED"/>
      </bottom>
    </border>
    <border>
      <left style="thin">
        <color rgb="FFBFC6D1"/>
      </left>
      <right style="thin">
        <color rgb="FFD8DDE5"/>
      </right>
      <top style="thin">
        <color rgb="FFD8DDE5"/>
      </top>
      <bottom style="thin">
        <color rgb="FFD8DDE5"/>
      </bottom>
    </border>
    <border>
      <left style="thin">
        <color rgb="FFE0E5ED"/>
      </left>
      <right style="thin">
        <color rgb="FFE0E5ED"/>
      </right>
      <top style="thin">
        <color rgb="FFE0E5ED"/>
      </top>
      <bottom style="thin">
        <color rgb="FFE0E5ED"/>
      </bottom>
    </border>
    <border>
      <left style="thin">
        <color rgb="FFD8DDE5"/>
      </left>
      <right style="thin">
        <color rgb="FFD8DDE5"/>
      </right>
      <top style="thin">
        <color rgb="FFD8DDE5"/>
      </top>
      <bottom style="thin">
        <color rgb="FFD8DDE5"/>
      </bottom>
    </border>
    <border>
      <left style="thin">
        <color rgb="FFD8DDE5"/>
      </left>
      <right style="thin">
        <color rgb="FFBFC6D1"/>
      </right>
      <top style="thin">
        <color rgb="FFD8DDE5"/>
      </top>
      <bottom style="thin">
        <color rgb="FFD8DDE5"/>
      </bottom>
    </border>
    <border>
      <left style="thin">
        <color rgb="FFE0E5ED"/>
      </left>
      <right style="thin">
        <color rgb="FFCCD3DD"/>
      </right>
      <top style="thin">
        <color rgb="FFE0E5ED"/>
      </top>
      <bottom style="thin">
        <color rgb="FFE0E5ED"/>
      </bottom>
    </border>
    <border>
      <left style="thin">
        <color rgb="FFBFC6D1"/>
      </left>
      <right style="thin">
        <color rgb="FFD8DDE5"/>
      </right>
      <top style="thin">
        <color rgb="FFD8DDE5"/>
      </top>
      <bottom style="thin">
        <color rgb="FFBFC6D1"/>
      </bottom>
    </border>
    <border>
      <left style="thin">
        <color rgb="FFD8DDE5"/>
      </left>
      <right style="thin">
        <color rgb="FFD8DDE5"/>
      </right>
      <top style="thin">
        <color rgb="FFD8DDE5"/>
      </top>
      <bottom style="thin">
        <color rgb="FFBFC6D1"/>
      </bottom>
    </border>
    <border>
      <left style="thin">
        <color rgb="FFD8DDE5"/>
      </left>
      <right style="thin">
        <color rgb="FFBFC6D1"/>
      </right>
      <top style="thin">
        <color rgb="FFD8DDE5"/>
      </top>
      <bottom style="thin">
        <color rgb="FFBFC6D1"/>
      </bottom>
    </border>
    <border>
      <left style="thin">
        <color rgb="FFBFBFBF"/>
      </left>
      <right style="thin">
        <color rgb="FFBFBFBF"/>
      </right>
      <top style="thin">
        <color rgb="FFBFBFBF"/>
      </top>
      <bottom style="thin">
        <color rgb="FFBFBFBF"/>
      </bottom>
    </border>
    <border>
      <left style="thin">
        <color rgb="FFCCD3DD"/>
      </left>
      <right style="thin">
        <color rgb="FFE0E5ED"/>
      </right>
      <top style="thin">
        <color rgb="FFE0E5ED"/>
      </top>
      <bottom style="thin">
        <color rgb="FFCCD3DD"/>
      </bottom>
    </border>
    <border>
      <left style="thin">
        <color rgb="FFE0E5ED"/>
      </left>
      <right style="thin">
        <color rgb="FFE0E5ED"/>
      </right>
      <top style="thin">
        <color rgb="FFE0E5ED"/>
      </top>
      <bottom style="thin">
        <color rgb="FFCCD3DD"/>
      </bottom>
    </border>
    <border>
      <left style="thin">
        <color rgb="FFE0E5ED"/>
      </left>
      <right style="thin">
        <color rgb="FFCCD3DD"/>
      </right>
      <top style="thin">
        <color rgb="FFE0E5ED"/>
      </top>
      <bottom style="thin">
        <color rgb="FFCCD3DD"/>
      </bottom>
    </border>
    <border>
      <left style="thin">
        <color rgb="FF000000"/>
      </left>
      <right style="thin">
        <color rgb="FF000000"/>
      </right>
      <top style="thin">
        <color rgb="FF000000"/>
      </top>
      <bottom style="thin">
        <color rgb="FF000000"/>
      </bottom>
    </border>
    <border>
      <left style="thin">
        <color rgb="FFE0E5ED"/>
      </left>
      <top style="thin">
        <color rgb="FFCCD3DD"/>
      </top>
      <bottom style="thin">
        <color rgb="FFE0E5ED"/>
      </bottom>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1" numFmtId="0" xfId="0" applyAlignment="1" applyBorder="1" applyFill="1" applyFont="1">
      <alignment horizontal="center" readingOrder="0" shrinkToFit="0" vertical="center" wrapText="1"/>
    </xf>
    <xf borderId="3" fillId="0" fontId="2" numFmtId="0" xfId="0" applyAlignment="1" applyBorder="1" applyFont="1">
      <alignment horizontal="center" readingOrder="0" shrinkToFit="0" vertical="center" wrapText="1"/>
    </xf>
    <xf borderId="4" fillId="2" fontId="1" numFmtId="0" xfId="0" applyAlignment="1" applyBorder="1" applyFill="1" applyFont="1">
      <alignment horizontal="center" readingOrder="0" shrinkToFit="0" vertical="center" wrapText="1"/>
    </xf>
    <xf borderId="5" fillId="3" fontId="1" numFmtId="0" xfId="0" applyAlignment="1" applyBorder="1" applyFill="1" applyFont="1">
      <alignment horizontal="center" readingOrder="0" shrinkToFit="0" vertical="center" wrapText="1"/>
    </xf>
    <xf borderId="6" fillId="0" fontId="3" numFmtId="0" xfId="0" applyBorder="1" applyFont="1"/>
    <xf borderId="0" fillId="0" fontId="4" numFmtId="0" xfId="0" applyAlignment="1" applyFont="1">
      <alignment shrinkToFit="0" wrapText="1"/>
    </xf>
    <xf borderId="7" fillId="2" fontId="1" numFmtId="0" xfId="0" applyAlignment="1" applyBorder="1" applyFill="1" applyFont="1">
      <alignment horizontal="center" readingOrder="0" shrinkToFit="0" vertical="center" wrapText="1"/>
    </xf>
    <xf borderId="8" fillId="3" fontId="1" numFmtId="0" xfId="0" applyAlignment="1" applyBorder="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9" fillId="4" fontId="5" numFmtId="0" xfId="0" applyAlignment="1" applyBorder="1" applyFill="1" applyFont="1">
      <alignment horizontal="center" readingOrder="0" shrinkToFit="0" vertical="top" wrapText="1"/>
    </xf>
    <xf borderId="0" fillId="0" fontId="4" numFmtId="0" xfId="0" applyAlignment="1" applyFont="1">
      <alignment horizontal="center" shrinkToFit="0" vertical="center" wrapText="1"/>
    </xf>
    <xf borderId="10" fillId="0" fontId="6" numFmtId="0" xfId="0" applyAlignment="1" applyBorder="1" applyFont="1">
      <alignment horizontal="center" readingOrder="0" shrinkToFit="0" vertical="top" wrapText="1"/>
    </xf>
    <xf borderId="11" fillId="4" fontId="7" numFmtId="0" xfId="0" applyAlignment="1" applyBorder="1" applyFill="1" applyFont="1">
      <alignment horizontal="left" readingOrder="0" shrinkToFit="0" vertical="top" wrapText="1"/>
    </xf>
    <xf borderId="12" fillId="0" fontId="8" numFmtId="0" xfId="0" applyAlignment="1" applyBorder="1" applyFont="1">
      <alignment readingOrder="0" shrinkToFit="0" vertical="top" wrapText="1"/>
    </xf>
    <xf borderId="0" fillId="6" fontId="1" numFmtId="0" xfId="0" applyAlignment="1" applyFill="1" applyFont="1">
      <alignment horizontal="center" readingOrder="0" shrinkToFit="0" vertical="center" wrapText="1"/>
    </xf>
    <xf borderId="11" fillId="4" fontId="9" numFmtId="0" xfId="0" applyAlignment="1" applyBorder="1" applyFill="1" applyFont="1">
      <alignment horizontal="left" readingOrder="0" shrinkToFit="0" vertical="top" wrapText="1"/>
    </xf>
    <xf borderId="0" fillId="5" fontId="10" numFmtId="0" xfId="0" applyAlignment="1" applyFill="1" applyFont="1">
      <alignment horizontal="center" readingOrder="0" shrinkToFit="0" vertical="center" wrapText="1"/>
    </xf>
    <xf borderId="11" fillId="4" fontId="9" numFmtId="0" xfId="0" applyAlignment="1" applyBorder="1" applyFill="1" applyFont="1">
      <alignment horizontal="center" readingOrder="0" shrinkToFit="0" vertical="top" wrapText="1"/>
    </xf>
    <xf borderId="9" fillId="0" fontId="5" numFmtId="0" xfId="0" applyAlignment="1" applyBorder="1" applyFont="1">
      <alignment horizontal="center" readingOrder="0" shrinkToFit="0" vertical="top" wrapText="1"/>
    </xf>
    <xf borderId="13" fillId="0" fontId="8" numFmtId="0" xfId="0" applyAlignment="1" applyBorder="1" applyFont="1">
      <alignment readingOrder="0" shrinkToFit="0" vertical="top" wrapText="1"/>
    </xf>
    <xf borderId="0" fillId="0" fontId="11" numFmtId="0" xfId="0" applyAlignment="1" applyFont="1">
      <alignment horizontal="center" shrinkToFit="0" vertical="center" wrapText="1"/>
    </xf>
    <xf borderId="11" fillId="0" fontId="7" numFmtId="0" xfId="0" applyAlignment="1" applyBorder="1" applyFont="1">
      <alignment horizontal="left" readingOrder="0" shrinkToFit="0" vertical="top" wrapText="1"/>
    </xf>
    <xf borderId="0" fillId="7" fontId="12" numFmtId="0" xfId="0" applyAlignment="1" applyFill="1" applyFont="1">
      <alignment horizontal="center" readingOrder="0" shrinkToFit="0" vertical="center" wrapText="1"/>
    </xf>
    <xf borderId="11" fillId="0" fontId="9" numFmtId="0" xfId="0" applyAlignment="1" applyBorder="1" applyFont="1">
      <alignment horizontal="left" readingOrder="0" shrinkToFit="0" vertical="top" wrapText="1"/>
    </xf>
    <xf borderId="0" fillId="7" fontId="13" numFmtId="0" xfId="0" applyAlignment="1" applyFill="1" applyFont="1">
      <alignment horizontal="center" readingOrder="0" shrinkToFit="0" vertical="center" wrapText="1"/>
    </xf>
    <xf borderId="12" fillId="0" fontId="8" numFmtId="0" xfId="0" applyAlignment="1" applyBorder="1" applyFont="1">
      <alignment horizontal="center" readingOrder="0" shrinkToFit="0" vertical="top" wrapText="1"/>
    </xf>
    <xf borderId="14" fillId="4" fontId="9" numFmtId="0" xfId="0" applyAlignment="1" applyBorder="1" applyFill="1" applyFont="1">
      <alignment horizontal="left" readingOrder="0" shrinkToFit="0" vertical="top" wrapText="1"/>
    </xf>
    <xf borderId="0" fillId="7" fontId="13" numFmtId="0" xfId="0" applyAlignment="1" applyFill="1" applyFont="1">
      <alignment horizontal="left" readingOrder="0" shrinkToFit="0" vertical="center" wrapText="1"/>
    </xf>
    <xf borderId="11" fillId="0" fontId="9" numFmtId="0" xfId="0" applyAlignment="1" applyBorder="1" applyFont="1">
      <alignment horizontal="center" readingOrder="0" shrinkToFit="0" vertical="top" wrapText="1"/>
    </xf>
    <xf borderId="9" fillId="7" fontId="5" numFmtId="0" xfId="0" applyAlignment="1" applyBorder="1" applyFill="1" applyFont="1">
      <alignment horizontal="center" readingOrder="0" shrinkToFit="0" vertical="top" wrapText="1"/>
    </xf>
    <xf borderId="0" fillId="7" fontId="13" numFmtId="0" xfId="0" applyAlignment="1" applyFill="1" applyFont="1">
      <alignment horizontal="left" readingOrder="0" shrinkToFit="0" vertical="top" wrapText="1"/>
    </xf>
    <xf borderId="11" fillId="7" fontId="7" numFmtId="0" xfId="0" applyAlignment="1" applyBorder="1" applyFill="1" applyFont="1">
      <alignment horizontal="left" readingOrder="0" shrinkToFit="0" vertical="top" wrapText="1"/>
    </xf>
    <xf borderId="0" fillId="6" fontId="14" numFmtId="0" xfId="0" applyAlignment="1" applyFill="1" applyFont="1">
      <alignment horizontal="left" readingOrder="0" shrinkToFit="0" vertical="top" wrapText="1"/>
    </xf>
    <xf borderId="11" fillId="7" fontId="9" numFmtId="0" xfId="0" applyAlignment="1" applyBorder="1" applyFill="1" applyFont="1">
      <alignment horizontal="left" readingOrder="0" shrinkToFit="0" vertical="top" wrapText="1"/>
    </xf>
    <xf borderId="0" fillId="7" fontId="15" numFmtId="0" xfId="0" applyAlignment="1" applyFill="1" applyFont="1">
      <alignment horizontal="center" readingOrder="0" shrinkToFit="0" vertical="center" wrapText="1"/>
    </xf>
    <xf borderId="11" fillId="7" fontId="9" numFmtId="0" xfId="0" applyAlignment="1" applyBorder="1" applyFill="1" applyFont="1">
      <alignment horizontal="center" readingOrder="0" shrinkToFit="0" vertical="top" wrapText="1"/>
    </xf>
    <xf borderId="0" fillId="7" fontId="16" numFmtId="0" xfId="0" applyAlignment="1" applyFill="1" applyFont="1">
      <alignment horizontal="center" readingOrder="0" shrinkToFit="0" vertical="center" wrapText="1"/>
    </xf>
    <xf borderId="0" fillId="7" fontId="16" numFmtId="0" xfId="0" applyAlignment="1" applyFill="1" applyFont="1">
      <alignment horizontal="center" shrinkToFit="0" vertical="center" wrapText="1"/>
    </xf>
    <xf borderId="0" fillId="7" fontId="15" numFmtId="0" xfId="0" applyAlignment="1" applyFill="1" applyFont="1">
      <alignment horizontal="center" shrinkToFit="0" vertical="center" wrapText="1"/>
    </xf>
    <xf borderId="14" fillId="0" fontId="9" numFmtId="0" xfId="0" applyAlignment="1" applyBorder="1" applyFont="1">
      <alignment horizontal="left" readingOrder="0" shrinkToFit="0" vertical="top" wrapText="1"/>
    </xf>
    <xf borderId="0" fillId="8" fontId="12" numFmtId="0" xfId="0" applyAlignment="1" applyFill="1" applyFont="1">
      <alignment horizontal="center" readingOrder="0" shrinkToFit="0" vertical="center" wrapText="1"/>
    </xf>
    <xf borderId="0" fillId="8" fontId="13" numFmtId="0" xfId="0" applyAlignment="1" applyFill="1" applyFont="1">
      <alignment horizontal="center" readingOrder="0" shrinkToFit="0" vertical="center" wrapText="1"/>
    </xf>
    <xf borderId="14" fillId="7" fontId="9" numFmtId="0" xfId="0" applyAlignment="1" applyBorder="1" applyFill="1" applyFont="1">
      <alignment horizontal="left" readingOrder="0" shrinkToFit="0" vertical="top" wrapText="1"/>
    </xf>
    <xf borderId="0" fillId="8" fontId="13" numFmtId="0" xfId="0" applyAlignment="1" applyFill="1" applyFont="1">
      <alignment horizontal="left" readingOrder="0" shrinkToFit="0" vertical="center" wrapText="1"/>
    </xf>
    <xf borderId="0" fillId="8" fontId="13" numFmtId="0" xfId="0" applyAlignment="1" applyFill="1" applyFont="1">
      <alignment horizontal="left" readingOrder="0" shrinkToFit="0" vertical="top" wrapText="1"/>
    </xf>
    <xf borderId="12" fillId="0" fontId="17" numFmtId="0" xfId="0" applyAlignment="1" applyBorder="1" applyFont="1">
      <alignment readingOrder="0" shrinkToFit="0" vertical="top" wrapText="1"/>
    </xf>
    <xf borderId="0" fillId="8" fontId="15" numFmtId="0" xfId="0" applyAlignment="1" applyFill="1" applyFont="1">
      <alignment horizontal="center" readingOrder="0" shrinkToFit="0" vertical="center" wrapText="1"/>
    </xf>
    <xf borderId="0" fillId="8" fontId="16" numFmtId="0" xfId="0" applyAlignment="1" applyFill="1" applyFont="1">
      <alignment horizontal="center" readingOrder="0" shrinkToFit="0" vertical="center" wrapText="1"/>
    </xf>
    <xf borderId="0" fillId="8" fontId="16" numFmtId="0" xfId="0" applyAlignment="1" applyFill="1" applyFont="1">
      <alignment horizontal="center" shrinkToFit="0" vertical="center" wrapText="1"/>
    </xf>
    <xf borderId="0" fillId="8" fontId="15" numFmtId="0" xfId="0" applyAlignment="1" applyFill="1" applyFont="1">
      <alignment horizontal="center" shrinkToFit="0" vertical="center" wrapText="1"/>
    </xf>
    <xf borderId="10" fillId="0" fontId="6" numFmtId="0" xfId="0" applyAlignment="1" applyBorder="1" applyFont="1">
      <alignment horizontal="center" readingOrder="0" shrinkToFit="0" vertical="top" wrapText="1"/>
    </xf>
    <xf borderId="12" fillId="0" fontId="8" numFmtId="0" xfId="0" applyAlignment="1" applyBorder="1" applyFont="1">
      <alignment readingOrder="0" shrinkToFit="0" vertical="top" wrapText="1"/>
    </xf>
    <xf borderId="13" fillId="0" fontId="8" numFmtId="0" xfId="0" applyAlignment="1" applyBorder="1" applyFont="1">
      <alignment readingOrder="0" shrinkToFit="0" vertical="top" wrapText="1"/>
    </xf>
    <xf borderId="12" fillId="0" fontId="8" numFmtId="0" xfId="0" applyAlignment="1" applyBorder="1" applyFont="1">
      <alignment horizontal="center" readingOrder="0" shrinkToFit="0" vertical="top" wrapText="1"/>
    </xf>
    <xf borderId="15" fillId="0" fontId="6" numFmtId="0" xfId="0" applyAlignment="1" applyBorder="1" applyFont="1">
      <alignment horizontal="center" readingOrder="0" shrinkToFit="0" vertical="top" wrapText="1"/>
    </xf>
    <xf borderId="16" fillId="0" fontId="8" numFmtId="0" xfId="0" applyAlignment="1" applyBorder="1" applyFont="1">
      <alignment readingOrder="0" shrinkToFit="0" vertical="top" wrapText="1"/>
    </xf>
    <xf borderId="16" fillId="0" fontId="8" numFmtId="0" xfId="0" applyAlignment="1" applyBorder="1" applyFont="1">
      <alignment horizontal="center" readingOrder="0" shrinkToFit="0" vertical="top" wrapText="1"/>
    </xf>
    <xf borderId="17" fillId="0" fontId="8" numFmtId="0" xfId="0" applyAlignment="1" applyBorder="1" applyFont="1">
      <alignment readingOrder="0" shrinkToFit="0" vertical="top" wrapText="1"/>
    </xf>
    <xf borderId="18" fillId="9" fontId="18" numFmtId="0" xfId="0" applyAlignment="1" applyBorder="1" applyFill="1" applyFont="1">
      <alignment horizontal="center" readingOrder="0"/>
    </xf>
    <xf borderId="18" fillId="0" fontId="19" numFmtId="0" xfId="0" applyAlignment="1" applyBorder="1" applyFont="1">
      <alignment readingOrder="0" vertical="top"/>
    </xf>
    <xf borderId="18" fillId="0" fontId="20" numFmtId="0" xfId="0" applyAlignment="1" applyBorder="1" applyFont="1">
      <alignment readingOrder="0" vertical="top"/>
    </xf>
    <xf borderId="18" fillId="7" fontId="20" numFmtId="0" xfId="0" applyAlignment="1" applyBorder="1" applyFill="1" applyFont="1">
      <alignment readingOrder="0" vertical="top"/>
    </xf>
    <xf borderId="18" fillId="0" fontId="21" numFmtId="0" xfId="0" applyAlignment="1" applyBorder="1" applyFont="1">
      <alignment readingOrder="0" vertical="top"/>
    </xf>
    <xf borderId="19" fillId="7" fontId="5" numFmtId="0" xfId="0" applyAlignment="1" applyBorder="1" applyFill="1" applyFont="1">
      <alignment horizontal="center" readingOrder="0" shrinkToFit="0" vertical="top" wrapText="1"/>
    </xf>
    <xf borderId="20" fillId="7" fontId="7" numFmtId="0" xfId="0" applyAlignment="1" applyBorder="1" applyFill="1" applyFont="1">
      <alignment horizontal="left" readingOrder="0" shrinkToFit="0" vertical="top" wrapText="1"/>
    </xf>
    <xf borderId="20" fillId="7" fontId="9" numFmtId="0" xfId="0" applyAlignment="1" applyBorder="1" applyFill="1" applyFont="1">
      <alignment horizontal="left" readingOrder="0" shrinkToFit="0" vertical="top" wrapText="1"/>
    </xf>
    <xf borderId="20" fillId="7" fontId="9" numFmtId="0" xfId="0" applyAlignment="1" applyBorder="1" applyFill="1" applyFont="1">
      <alignment horizontal="center" readingOrder="0" shrinkToFit="0" vertical="top" wrapText="1"/>
    </xf>
    <xf borderId="21" fillId="7" fontId="9" numFmtId="0" xfId="0" applyAlignment="1" applyBorder="1" applyFill="1" applyFont="1">
      <alignment horizontal="left" readingOrder="0" shrinkToFit="0" vertical="top" wrapText="1"/>
    </xf>
    <xf borderId="19" fillId="0" fontId="5" numFmtId="0" xfId="0" applyAlignment="1" applyBorder="1" applyFont="1">
      <alignment horizontal="center" readingOrder="0" shrinkToFit="0" vertical="top" wrapText="1"/>
    </xf>
    <xf borderId="20" fillId="0" fontId="7" numFmtId="0" xfId="0" applyAlignment="1" applyBorder="1" applyFont="1">
      <alignment horizontal="left" readingOrder="0" shrinkToFit="0" vertical="top" wrapText="1"/>
    </xf>
    <xf borderId="20" fillId="0" fontId="9" numFmtId="0" xfId="0" applyAlignment="1" applyBorder="1" applyFont="1">
      <alignment horizontal="left" readingOrder="0" shrinkToFit="0" vertical="top" wrapText="1"/>
    </xf>
    <xf borderId="20" fillId="0" fontId="9" numFmtId="0" xfId="0" applyAlignment="1" applyBorder="1" applyFont="1">
      <alignment horizontal="center" readingOrder="0" shrinkToFit="0" vertical="top" wrapText="1"/>
    </xf>
    <xf borderId="21" fillId="0" fontId="9" numFmtId="0" xfId="0" applyAlignment="1" applyBorder="1" applyFont="1">
      <alignment horizontal="left" readingOrder="0" shrinkToFit="0" vertical="top" wrapText="1"/>
    </xf>
    <xf borderId="0" fillId="0" fontId="4" numFmtId="0" xfId="0" applyAlignment="1" applyFont="1">
      <alignment readingOrder="0"/>
    </xf>
    <xf borderId="0" fillId="0" fontId="5" numFmtId="0" xfId="0" applyAlignment="1" applyFont="1">
      <alignment horizontal="center" readingOrder="0" shrinkToFit="0" vertical="top" wrapText="1"/>
    </xf>
    <xf borderId="0" fillId="0" fontId="7"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9" numFmtId="0" xfId="0" applyAlignment="1" applyFont="1">
      <alignment horizontal="center" readingOrder="0" shrinkToFit="0" vertical="top" wrapText="1"/>
    </xf>
    <xf borderId="0" fillId="0" fontId="4" numFmtId="0" xfId="0" applyAlignment="1" applyFont="1">
      <alignment horizontal="center" readingOrder="0" shrinkToFit="0" vertical="center" wrapText="1"/>
    </xf>
    <xf borderId="0" fillId="8" fontId="10" numFmtId="0" xfId="0" applyAlignment="1" applyFill="1" applyFont="1">
      <alignment horizontal="center" readingOrder="0" vertical="center"/>
    </xf>
    <xf borderId="0" fillId="0" fontId="20" numFmtId="0" xfId="0" applyAlignment="1" applyFont="1">
      <alignment vertical="bottom"/>
    </xf>
    <xf borderId="0" fillId="8" fontId="22" numFmtId="0" xfId="0" applyAlignment="1" applyFill="1" applyFont="1">
      <alignment horizontal="center" readingOrder="0" shrinkToFit="0" vertical="center" wrapText="1"/>
    </xf>
    <xf borderId="0" fillId="8" fontId="23" numFmtId="0" xfId="0" applyAlignment="1" applyFill="1" applyFont="1">
      <alignment horizontal="center" readingOrder="0" shrinkToFit="0" vertical="center" wrapText="1"/>
    </xf>
    <xf borderId="0" fillId="0" fontId="24" numFmtId="0" xfId="0" applyAlignment="1" applyFont="1">
      <alignment readingOrder="0"/>
    </xf>
    <xf borderId="0" fillId="0" fontId="4" numFmtId="0" xfId="0" applyAlignment="1" applyFont="1">
      <alignment horizontal="center" readingOrder="0"/>
    </xf>
    <xf borderId="0" fillId="0" fontId="24" numFmtId="0" xfId="0" applyFont="1"/>
    <xf borderId="0" fillId="0" fontId="4" numFmtId="0" xfId="0" applyAlignment="1" applyFont="1">
      <alignment horizontal="center"/>
    </xf>
    <xf borderId="0" fillId="7" fontId="10" numFmtId="0" xfId="0" applyAlignment="1" applyFill="1" applyFont="1">
      <alignment horizontal="center" readingOrder="0" vertical="center"/>
    </xf>
    <xf borderId="0" fillId="8" fontId="25" numFmtId="0" xfId="0" applyAlignment="1" applyFill="1" applyFont="1">
      <alignment horizontal="center" vertical="center"/>
    </xf>
    <xf borderId="0" fillId="7" fontId="25" numFmtId="0" xfId="0" applyAlignment="1" applyFill="1" applyFont="1">
      <alignment horizontal="center" readingOrder="0" vertical="center"/>
    </xf>
    <xf borderId="0" fillId="0" fontId="26" numFmtId="0" xfId="0" applyAlignment="1" applyFont="1">
      <alignment readingOrder="0"/>
    </xf>
    <xf borderId="0" fillId="0" fontId="26" numFmtId="0" xfId="0" applyFont="1"/>
    <xf borderId="0" fillId="0" fontId="26" numFmtId="0" xfId="0" applyAlignment="1" applyFont="1">
      <alignment horizontal="center" readingOrder="0"/>
    </xf>
    <xf borderId="22" fillId="0" fontId="23" numFmtId="0" xfId="0" applyAlignment="1" applyBorder="1" applyFont="1">
      <alignment horizontal="center" readingOrder="0" vertical="center"/>
    </xf>
    <xf borderId="0" fillId="0" fontId="27" numFmtId="0" xfId="0" applyAlignment="1" applyFont="1">
      <alignment horizontal="center" vertical="center"/>
    </xf>
    <xf borderId="0" fillId="0" fontId="27" numFmtId="0" xfId="0" applyAlignment="1" applyFont="1">
      <alignment horizontal="center"/>
    </xf>
    <xf borderId="22" fillId="0" fontId="28" numFmtId="0" xfId="0" applyAlignment="1" applyBorder="1" applyFont="1">
      <alignment horizontal="left" readingOrder="0" shrinkToFit="0" vertical="center" wrapText="1"/>
    </xf>
    <xf borderId="22" fillId="0" fontId="28" numFmtId="0" xfId="0" applyAlignment="1" applyBorder="1" applyFont="1">
      <alignment horizontal="center" readingOrder="0" shrinkToFit="0" vertical="center" wrapText="1"/>
    </xf>
    <xf borderId="22" fillId="0" fontId="28" numFmtId="0" xfId="0" applyAlignment="1" applyBorder="1" applyFont="1">
      <alignment horizontal="left" readingOrder="0" shrinkToFit="0" vertical="top" wrapText="1"/>
    </xf>
    <xf borderId="0" fillId="0" fontId="4" numFmtId="0" xfId="0" applyAlignment="1" applyFont="1">
      <alignment horizontal="left" vertical="center"/>
    </xf>
    <xf borderId="0" fillId="7" fontId="23" numFmtId="0" xfId="0" applyAlignment="1" applyFill="1" applyFont="1">
      <alignment horizontal="center" readingOrder="0" shrinkToFit="0" vertical="center" wrapText="1"/>
    </xf>
    <xf borderId="22" fillId="10" fontId="28" numFmtId="0" xfId="0" applyAlignment="1" applyBorder="1" applyFill="1" applyFont="1">
      <alignment horizontal="left" readingOrder="0" shrinkToFit="0" vertical="center" wrapText="1"/>
    </xf>
    <xf borderId="22" fillId="10" fontId="28" numFmtId="0" xfId="0" applyAlignment="1" applyBorder="1" applyFill="1" applyFont="1">
      <alignment horizontal="center" readingOrder="0" shrinkToFit="0" vertical="center" wrapText="1"/>
    </xf>
    <xf borderId="22" fillId="10" fontId="28" numFmtId="0" xfId="0" applyAlignment="1" applyBorder="1" applyFill="1" applyFont="1">
      <alignment horizontal="left" readingOrder="0" shrinkToFit="0" vertical="top" wrapText="1"/>
    </xf>
    <xf borderId="0" fillId="7" fontId="29" numFmtId="0" xfId="0" applyAlignment="1" applyFill="1" applyFont="1">
      <alignment horizontal="center" readingOrder="0" shrinkToFit="0" vertical="center" wrapText="1"/>
    </xf>
    <xf borderId="0" fillId="7" fontId="29" numFmtId="0" xfId="0" applyAlignment="1" applyFill="1" applyFont="1">
      <alignment horizontal="left" readingOrder="0" shrinkToFit="0" wrapText="1"/>
    </xf>
    <xf borderId="0" fillId="7" fontId="29" numFmtId="0" xfId="0" applyAlignment="1" applyFill="1" applyFont="1">
      <alignment horizontal="left" readingOrder="0" shrinkToFit="0" vertical="top" wrapText="1"/>
    </xf>
    <xf borderId="0" fillId="7" fontId="29" numFmtId="0" xfId="0" applyAlignment="1" applyFill="1" applyFont="1">
      <alignment horizontal="center" readingOrder="0" shrinkToFit="0" wrapText="1"/>
    </xf>
    <xf borderId="0" fillId="7" fontId="29" numFmtId="0" xfId="0" applyAlignment="1" applyFill="1" applyFont="1">
      <alignment horizontal="center" readingOrder="0" shrinkToFit="0" wrapText="1"/>
    </xf>
    <xf borderId="0" fillId="7" fontId="4" numFmtId="0" xfId="0" applyAlignment="1" applyFill="1" applyFont="1">
      <alignment shrinkToFit="0" wrapText="1"/>
    </xf>
    <xf borderId="0" fillId="8" fontId="29" numFmtId="0" xfId="0" applyAlignment="1" applyFill="1" applyFont="1">
      <alignment horizontal="center" readingOrder="0" shrinkToFit="0" wrapText="1"/>
    </xf>
    <xf borderId="1" fillId="11" fontId="1" numFmtId="0" xfId="0" applyAlignment="1" applyBorder="1" applyFill="1" applyFont="1">
      <alignment horizontal="center" readingOrder="0" shrinkToFit="0" vertical="center" wrapText="1"/>
    </xf>
    <xf borderId="4" fillId="11" fontId="1" numFmtId="0" xfId="0" applyAlignment="1" applyBorder="1" applyFill="1" applyFont="1">
      <alignment horizontal="center" readingOrder="0" shrinkToFit="0" vertical="center" wrapText="1"/>
    </xf>
    <xf borderId="4" fillId="11" fontId="1" numFmtId="0" xfId="0" applyAlignment="1" applyBorder="1" applyFill="1" applyFont="1">
      <alignment horizontal="left" readingOrder="0" shrinkToFit="0" vertical="center" wrapText="1"/>
    </xf>
    <xf borderId="4" fillId="11" fontId="1" numFmtId="0" xfId="0" applyAlignment="1" applyBorder="1" applyFill="1" applyFont="1">
      <alignment horizontal="left" readingOrder="0" shrinkToFit="0" vertical="top" wrapText="1"/>
    </xf>
    <xf borderId="23" fillId="11" fontId="1" numFmtId="0" xfId="0" applyAlignment="1" applyBorder="1" applyFill="1" applyFont="1">
      <alignment horizontal="left" readingOrder="0" shrinkToFit="0" vertical="top" wrapText="1"/>
    </xf>
    <xf borderId="7" fillId="6" fontId="1" numFmtId="0" xfId="0" applyAlignment="1" applyBorder="1" applyFill="1" applyFont="1">
      <alignment horizontal="center" readingOrder="0" shrinkToFit="0" vertical="center" wrapText="1"/>
    </xf>
    <xf borderId="0" fillId="11" fontId="4" numFmtId="0" xfId="0" applyAlignment="1" applyFill="1" applyFont="1">
      <alignment readingOrder="0" shrinkToFit="0" wrapText="1"/>
    </xf>
    <xf borderId="22" fillId="0" fontId="28" numFmtId="0" xfId="0" applyAlignment="1" applyBorder="1" applyFont="1">
      <alignment horizontal="center" readingOrder="0" shrinkToFit="0" vertical="top" wrapText="1"/>
    </xf>
    <xf borderId="0" fillId="7" fontId="1" numFmtId="0" xfId="0" applyAlignment="1" applyFill="1" applyFont="1">
      <alignment horizontal="center" readingOrder="0" shrinkToFit="0" vertical="center" wrapText="1"/>
    </xf>
    <xf borderId="0" fillId="7" fontId="6" numFmtId="0" xfId="0" applyAlignment="1" applyFill="1" applyFont="1">
      <alignment horizontal="center" readingOrder="0" shrinkToFit="0" vertical="center" wrapText="1"/>
    </xf>
    <xf borderId="0" fillId="7" fontId="30" numFmtId="0" xfId="0" applyAlignment="1" applyFill="1" applyFont="1">
      <alignment horizontal="left" readingOrder="0" shrinkToFit="0" wrapText="1"/>
    </xf>
    <xf borderId="0" fillId="7" fontId="6" numFmtId="0" xfId="0" applyAlignment="1" applyFill="1" applyFont="1">
      <alignment horizontal="left" readingOrder="0" shrinkToFit="0" vertical="center" wrapText="1"/>
    </xf>
    <xf borderId="0" fillId="7" fontId="1" numFmtId="0" xfId="0" applyAlignment="1" applyFill="1" applyFont="1">
      <alignment horizontal="left" readingOrder="0" shrinkToFit="0" vertical="center" wrapText="1"/>
    </xf>
    <xf borderId="0" fillId="7" fontId="1" numFmtId="0" xfId="0" applyAlignment="1" applyFill="1" applyFont="1">
      <alignment horizontal="left" readingOrder="0" shrinkToFit="0" vertical="top" wrapText="1"/>
    </xf>
    <xf borderId="0" fillId="6" fontId="1" numFmtId="0" xfId="0" applyAlignment="1" applyFill="1" applyFont="1">
      <alignment horizontal="center" readingOrder="0" shrinkToFit="0" vertical="center" wrapText="1"/>
    </xf>
    <xf borderId="0" fillId="7" fontId="4" numFmtId="0" xfId="0" applyAlignment="1" applyFill="1" applyFont="1">
      <alignment readingOrder="0" shrinkToFit="0" wrapText="1"/>
    </xf>
    <xf borderId="0" fillId="7" fontId="4" numFmtId="0" xfId="0" applyAlignment="1" applyFill="1" applyFont="1">
      <alignment readingOrder="0" shrinkToFit="0" wrapText="1"/>
    </xf>
    <xf borderId="0" fillId="12" fontId="1" numFmtId="0" xfId="0" applyAlignment="1" applyFill="1" applyFont="1">
      <alignment horizontal="center" readingOrder="0" shrinkToFit="0" vertical="center" wrapText="1"/>
    </xf>
    <xf borderId="0" fillId="12" fontId="6" numFmtId="0" xfId="0" applyAlignment="1" applyFill="1" applyFont="1">
      <alignment horizontal="center" readingOrder="0" shrinkToFit="0" vertical="center" wrapText="1"/>
    </xf>
    <xf borderId="0" fillId="12" fontId="31" numFmtId="0" xfId="0" applyAlignment="1" applyFill="1" applyFont="1">
      <alignment horizontal="left" readingOrder="0" shrinkToFit="0" wrapText="1"/>
    </xf>
    <xf borderId="0" fillId="12" fontId="6" numFmtId="0" xfId="0" applyAlignment="1" applyFill="1" applyFont="1">
      <alignment horizontal="left" readingOrder="0" shrinkToFit="0" vertical="center" wrapText="1"/>
    </xf>
    <xf borderId="0" fillId="12" fontId="1" numFmtId="0" xfId="0" applyAlignment="1" applyFill="1" applyFont="1">
      <alignment horizontal="left" readingOrder="0" shrinkToFit="0" vertical="center" wrapText="1"/>
    </xf>
    <xf borderId="22" fillId="10" fontId="28" numFmtId="0" xfId="0" applyAlignment="1" applyBorder="1" applyFill="1" applyFont="1">
      <alignment horizontal="center" readingOrder="0" shrinkToFit="0" vertical="top" wrapText="1"/>
    </xf>
    <xf borderId="0" fillId="12" fontId="1" numFmtId="0" xfId="0" applyAlignment="1" applyFill="1" applyFont="1">
      <alignment horizontal="left" readingOrder="0" shrinkToFit="0" vertical="top" wrapText="1"/>
    </xf>
    <xf borderId="9" fillId="12" fontId="5" numFmtId="0" xfId="0" applyAlignment="1" applyBorder="1" applyFill="1" applyFont="1">
      <alignment horizontal="center" readingOrder="0" shrinkToFit="0" vertical="top" wrapText="1"/>
    </xf>
    <xf borderId="0" fillId="12" fontId="4" numFmtId="0" xfId="0" applyAlignment="1" applyFill="1" applyFont="1">
      <alignment readingOrder="0" shrinkToFit="0" wrapText="1"/>
    </xf>
    <xf borderId="0" fillId="7" fontId="31" numFmtId="0" xfId="0" applyAlignment="1" applyFill="1" applyFont="1">
      <alignment horizontal="left" readingOrder="0" shrinkToFit="0" wrapText="1"/>
    </xf>
    <xf borderId="9" fillId="7" fontId="5" numFmtId="0" xfId="0" applyAlignment="1" applyBorder="1" applyFill="1" applyFont="1">
      <alignment horizontal="center" readingOrder="0" shrinkToFit="0" vertical="top" wrapText="1"/>
    </xf>
    <xf borderId="0" fillId="12" fontId="16" numFmtId="0" xfId="0" applyAlignment="1" applyFill="1" applyFont="1">
      <alignment horizontal="left" readingOrder="0" shrinkToFit="0" vertical="center" wrapText="1"/>
    </xf>
    <xf borderId="0" fillId="12" fontId="5" numFmtId="0" xfId="0" applyAlignment="1" applyFill="1" applyFont="1">
      <alignment horizontal="center" readingOrder="0" shrinkToFit="0" vertical="top" wrapText="1"/>
    </xf>
    <xf borderId="0" fillId="7" fontId="16" numFmtId="0" xfId="0" applyAlignment="1" applyFill="1" applyFont="1">
      <alignment horizontal="left" readingOrder="0" shrinkToFit="0" vertical="center" wrapText="1"/>
    </xf>
    <xf borderId="0" fillId="7" fontId="5" numFmtId="0" xfId="0" applyAlignment="1" applyFill="1" applyFont="1">
      <alignment horizontal="center" readingOrder="0" shrinkToFit="0" vertical="top" wrapText="1"/>
    </xf>
    <xf borderId="0" fillId="7" fontId="4" numFmtId="0" xfId="0" applyAlignment="1" applyFill="1" applyFont="1">
      <alignment shrinkToFit="0" vertical="center" wrapText="1"/>
    </xf>
    <xf borderId="0" fillId="7" fontId="4" numFmtId="0" xfId="0" applyAlignment="1" applyFill="1" applyFont="1">
      <alignment horizontal="left" readingOrder="0" shrinkToFit="0" wrapText="1"/>
    </xf>
    <xf borderId="0" fillId="7" fontId="4" numFmtId="0" xfId="0" applyAlignment="1" applyFill="1" applyFont="1">
      <alignment horizontal="left" shrinkToFit="0" wrapText="1"/>
    </xf>
    <xf borderId="0" fillId="6" fontId="4" numFmtId="0" xfId="0" applyAlignment="1" applyFill="1" applyFont="1">
      <alignment shrinkToFit="0" wrapText="1"/>
    </xf>
    <xf borderId="0" fillId="12" fontId="4" numFmtId="0" xfId="0" applyAlignment="1" applyFill="1" applyFont="1">
      <alignment horizontal="left" readingOrder="0" shrinkToFit="0" wrapText="1"/>
    </xf>
    <xf borderId="0" fillId="7" fontId="32" numFmtId="0" xfId="0" applyAlignment="1" applyFill="1" applyFont="1">
      <alignment horizontal="center" readingOrder="0" shrinkToFit="0" vertical="center" wrapText="1"/>
    </xf>
    <xf borderId="0" fillId="7" fontId="32" numFmtId="0" xfId="0" applyAlignment="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4" fillId="2" fontId="1" numFmtId="0" xfId="0" applyAlignment="1" applyBorder="1" applyFill="1" applyFont="1">
      <alignment horizontal="center" readingOrder="0" shrinkToFit="0" vertical="center" wrapText="1"/>
    </xf>
    <xf borderId="4" fillId="2" fontId="1" numFmtId="0" xfId="0" applyAlignment="1" applyBorder="1" applyFill="1" applyFont="1">
      <alignment horizontal="left" readingOrder="0" shrinkToFit="0" vertical="center" wrapText="1"/>
    </xf>
    <xf borderId="23" fillId="2" fontId="1" numFmtId="0" xfId="0" applyAlignment="1" applyBorder="1" applyFill="1" applyFont="1">
      <alignment horizontal="left" readingOrder="0" shrinkToFit="0" vertical="center" wrapText="1"/>
    </xf>
    <xf borderId="0" fillId="13" fontId="4" numFmtId="0" xfId="0" applyAlignment="1" applyFill="1" applyFont="1">
      <alignment readingOrder="0" shrinkToFit="0" wrapText="1"/>
    </xf>
    <xf borderId="0" fillId="13" fontId="4" numFmtId="0" xfId="0" applyAlignment="1" applyFill="1" applyFont="1">
      <alignment readingOrder="0" shrinkToFit="0"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14" fontId="31" numFmtId="0" xfId="0" applyAlignment="1" applyFill="1" applyFont="1">
      <alignment horizontal="left" readingOrder="0" shrinkToFit="0" vertical="center" wrapText="1"/>
    </xf>
    <xf borderId="0" fillId="0" fontId="4" numFmtId="0" xfId="0" applyAlignment="1" applyFont="1">
      <alignment horizontal="left" readingOrder="0" shrinkToFit="0" vertical="center" wrapText="1"/>
    </xf>
    <xf borderId="0" fillId="7" fontId="33" numFmtId="0" xfId="0" applyAlignment="1" applyFill="1" applyFont="1">
      <alignment horizontal="left" readingOrder="0" shrinkToFit="0" vertical="top" wrapText="1"/>
    </xf>
    <xf borderId="0" fillId="6" fontId="4" numFmtId="0" xfId="0" applyAlignment="1" applyFill="1" applyFont="1">
      <alignment horizontal="center" shrinkToFit="0" vertical="center" wrapText="1"/>
    </xf>
    <xf borderId="0" fillId="0" fontId="4" numFmtId="0" xfId="0" applyAlignment="1" applyFont="1">
      <alignment shrinkToFit="0" wrapText="1"/>
    </xf>
    <xf borderId="0" fillId="15" fontId="33" numFmtId="0" xfId="0" applyAlignment="1" applyFill="1" applyFont="1">
      <alignment horizontal="left" readingOrder="0" shrinkToFit="0" vertical="top" wrapText="1"/>
    </xf>
    <xf borderId="22" fillId="16" fontId="28" numFmtId="0" xfId="0" applyAlignment="1" applyBorder="1" applyFill="1" applyFont="1">
      <alignment horizontal="left" readingOrder="0" shrinkToFit="0" vertical="center" wrapText="1"/>
    </xf>
    <xf borderId="22" fillId="16" fontId="28" numFmtId="0" xfId="0" applyAlignment="1" applyBorder="1" applyFill="1" applyFont="1">
      <alignment horizontal="center" readingOrder="0" shrinkToFit="0" vertical="center" wrapText="1"/>
    </xf>
    <xf borderId="22" fillId="16" fontId="28" numFmtId="0" xfId="0" applyAlignment="1" applyBorder="1" applyFill="1" applyFont="1">
      <alignment horizontal="left" readingOrder="0" shrinkToFit="0" vertical="top" wrapText="1"/>
    </xf>
    <xf borderId="0" fillId="0" fontId="4" numFmtId="0" xfId="0" applyAlignment="1" applyFont="1">
      <alignment horizontal="center" readingOrder="0" shrinkToFit="0" vertical="center" wrapText="1"/>
    </xf>
    <xf borderId="0" fillId="6" fontId="4" numFmtId="0" xfId="0" applyAlignment="1" applyFill="1" applyFont="1">
      <alignment horizontal="center" readingOrder="0" shrinkToFit="0" vertical="center" wrapText="1"/>
    </xf>
    <xf borderId="9" fillId="17" fontId="5" numFmtId="0" xfId="0" applyAlignment="1" applyBorder="1" applyFill="1" applyFont="1">
      <alignment horizontal="center" readingOrder="0" shrinkToFit="0" vertical="center" wrapText="1"/>
    </xf>
    <xf borderId="0" fillId="0" fontId="4"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horizontal="left" shrinkToFit="0" vertical="center" wrapText="1"/>
    </xf>
    <xf borderId="0" fillId="0" fontId="4" numFmtId="0" xfId="0" applyAlignment="1" applyFont="1">
      <alignment horizontal="center" readingOrder="0" shrinkToFit="0" vertical="center" wrapText="1"/>
    </xf>
    <xf borderId="9" fillId="17" fontId="5" numFmtId="0" xfId="0" applyAlignment="1" applyBorder="1" applyFill="1" applyFont="1">
      <alignment horizontal="center" readingOrder="0" shrinkToFit="0" vertical="top" wrapText="1"/>
    </xf>
    <xf borderId="0" fillId="0" fontId="4" numFmtId="0" xfId="0" applyAlignment="1" applyFont="1">
      <alignment horizontal="left" shrinkToFit="0" wrapText="1"/>
    </xf>
    <xf borderId="0" fillId="0" fontId="34" numFmtId="0" xfId="0" applyAlignment="1" applyFont="1">
      <alignment horizontal="center" readingOrder="0" shrinkToFit="0" vertical="center" wrapText="1"/>
    </xf>
    <xf borderId="0" fillId="0" fontId="4" numFmtId="0" xfId="0" applyAlignment="1" applyFont="1">
      <alignment readingOrder="0" shrinkToFit="0" wrapText="1"/>
    </xf>
    <xf borderId="0" fillId="0" fontId="4" numFmtId="0" xfId="0" applyAlignment="1" applyFont="1">
      <alignment horizontal="left" readingOrder="0" shrinkToFit="0" vertical="center" wrapText="1"/>
    </xf>
    <xf borderId="1" fillId="18" fontId="1" numFmtId="0" xfId="0" applyAlignment="1" applyBorder="1" applyFill="1" applyFont="1">
      <alignment horizontal="center" readingOrder="0" shrinkToFit="0" vertical="center" wrapText="1"/>
    </xf>
    <xf borderId="4" fillId="18" fontId="1" numFmtId="0" xfId="0" applyAlignment="1" applyBorder="1" applyFill="1" applyFont="1">
      <alignment horizontal="center" readingOrder="0" shrinkToFit="0" vertical="center" wrapText="1"/>
    </xf>
    <xf borderId="4" fillId="18" fontId="1" numFmtId="0" xfId="0" applyAlignment="1" applyBorder="1" applyFill="1" applyFont="1">
      <alignment horizontal="left" readingOrder="0" shrinkToFit="0" vertical="center" wrapText="1"/>
    </xf>
    <xf borderId="23" fillId="18" fontId="1" numFmtId="0" xfId="0" applyAlignment="1" applyBorder="1" applyFill="1" applyFont="1">
      <alignment horizontal="left" readingOrder="0" shrinkToFit="0" vertical="center" wrapText="1"/>
    </xf>
    <xf borderId="0" fillId="18" fontId="4" numFmtId="0" xfId="0" applyAlignment="1" applyFill="1" applyFont="1">
      <alignment horizontal="center" readingOrder="0" shrinkToFit="0" vertical="center" wrapText="1"/>
    </xf>
    <xf borderId="0" fillId="7" fontId="4" numFmtId="0" xfId="0" applyAlignment="1" applyFill="1" applyFont="1">
      <alignment horizontal="center" shrinkToFit="0" vertical="center" wrapText="1"/>
    </xf>
    <xf borderId="0" fillId="7" fontId="4" numFmtId="0" xfId="0" applyAlignment="1" applyFill="1" applyFont="1">
      <alignment horizontal="center" readingOrder="0" shrinkToFit="0" vertical="center" wrapText="1"/>
    </xf>
    <xf borderId="0" fillId="7" fontId="4" numFmtId="0" xfId="0" applyAlignment="1" applyFill="1" applyFont="1">
      <alignment horizontal="left" readingOrder="0" shrinkToFit="0" vertical="center" wrapText="1"/>
    </xf>
    <xf borderId="0" fillId="19" fontId="4" numFmtId="0" xfId="0" applyAlignment="1" applyFill="1" applyFont="1">
      <alignment horizontal="center" shrinkToFit="0" vertical="center" wrapText="1"/>
    </xf>
    <xf borderId="0" fillId="19" fontId="4" numFmtId="0" xfId="0" applyAlignment="1" applyFill="1" applyFont="1">
      <alignment horizontal="center" readingOrder="0" shrinkToFit="0" vertical="center" wrapText="1"/>
    </xf>
    <xf borderId="0" fillId="19" fontId="4" numFmtId="0" xfId="0" applyAlignment="1" applyFill="1" applyFont="1">
      <alignment horizontal="left" readingOrder="0" shrinkToFit="0" vertical="center" wrapText="1"/>
    </xf>
    <xf borderId="9" fillId="17" fontId="5" numFmtId="0" xfId="0" applyAlignment="1" applyBorder="1" applyFill="1" applyFont="1">
      <alignment horizontal="center" shrinkToFit="0" vertical="top" wrapText="1"/>
    </xf>
    <xf borderId="11" fillId="17" fontId="7" numFmtId="0" xfId="0" applyAlignment="1" applyBorder="1" applyFill="1" applyFont="1">
      <alignment horizontal="left" shrinkToFit="0" vertical="top" wrapText="1"/>
    </xf>
    <xf borderId="11" fillId="17" fontId="9" numFmtId="0" xfId="0" applyAlignment="1" applyBorder="1" applyFill="1" applyFont="1">
      <alignment horizontal="left" shrinkToFit="0" vertical="top" wrapText="1"/>
    </xf>
    <xf borderId="11" fillId="17" fontId="9" numFmtId="0" xfId="0" applyAlignment="1" applyBorder="1" applyFill="1" applyFont="1">
      <alignment horizontal="center" shrinkToFit="0" vertical="top" wrapText="1"/>
    </xf>
    <xf borderId="14" fillId="17" fontId="9" numFmtId="0" xfId="0" applyAlignment="1" applyBorder="1" applyFill="1" applyFont="1">
      <alignment horizontal="left" shrinkToFit="0" vertical="top" wrapText="1"/>
    </xf>
    <xf borderId="9" fillId="7" fontId="5" numFmtId="0" xfId="0" applyAlignment="1" applyBorder="1" applyFill="1" applyFont="1">
      <alignment horizontal="center" shrinkToFit="0" vertical="top" wrapText="1"/>
    </xf>
    <xf borderId="11" fillId="7" fontId="7" numFmtId="0" xfId="0" applyAlignment="1" applyBorder="1" applyFill="1" applyFont="1">
      <alignment horizontal="left" shrinkToFit="0" vertical="top" wrapText="1"/>
    </xf>
    <xf borderId="11" fillId="7" fontId="9" numFmtId="0" xfId="0" applyAlignment="1" applyBorder="1" applyFill="1" applyFont="1">
      <alignment horizontal="left" shrinkToFit="0" vertical="top" wrapText="1"/>
    </xf>
    <xf borderId="11" fillId="7" fontId="9" numFmtId="0" xfId="0" applyAlignment="1" applyBorder="1" applyFill="1" applyFont="1">
      <alignment horizontal="center" shrinkToFit="0" vertical="top" wrapText="1"/>
    </xf>
    <xf borderId="14" fillId="7" fontId="9" numFmtId="0" xfId="0" applyAlignment="1" applyBorder="1" applyFill="1" applyFont="1">
      <alignment horizontal="left" shrinkToFit="0" vertical="top" wrapText="1"/>
    </xf>
    <xf borderId="9" fillId="17" fontId="5" numFmtId="0" xfId="0" applyAlignment="1" applyBorder="1" applyFill="1" applyFont="1">
      <alignment horizontal="center" shrinkToFit="0" vertical="top" wrapText="1"/>
    </xf>
    <xf borderId="11" fillId="17" fontId="7" numFmtId="0" xfId="0" applyAlignment="1" applyBorder="1" applyFill="1" applyFont="1">
      <alignment horizontal="left" shrinkToFit="0" vertical="top" wrapText="1"/>
    </xf>
    <xf borderId="11" fillId="17" fontId="9" numFmtId="0" xfId="0" applyAlignment="1" applyBorder="1" applyFill="1" applyFont="1">
      <alignment horizontal="left" shrinkToFit="0" vertical="top" wrapText="1"/>
    </xf>
    <xf borderId="11" fillId="17" fontId="9" numFmtId="0" xfId="0" applyAlignment="1" applyBorder="1" applyFill="1" applyFont="1">
      <alignment horizontal="center" shrinkToFit="0" vertical="top" wrapText="1"/>
    </xf>
    <xf borderId="14" fillId="17" fontId="9" numFmtId="0" xfId="0" applyAlignment="1" applyBorder="1" applyFill="1" applyFont="1">
      <alignment horizontal="left" shrinkToFit="0" vertical="top" wrapText="1"/>
    </xf>
    <xf borderId="11" fillId="17" fontId="7" numFmtId="0" xfId="0" applyAlignment="1" applyBorder="1" applyFill="1" applyFont="1">
      <alignment horizontal="left" readingOrder="0" shrinkToFit="0" vertical="top" wrapText="1"/>
    </xf>
    <xf borderId="11" fillId="17" fontId="9" numFmtId="0" xfId="0" applyAlignment="1" applyBorder="1" applyFill="1" applyFont="1">
      <alignment horizontal="left" readingOrder="0" shrinkToFit="0" vertical="top" wrapText="1"/>
    </xf>
    <xf borderId="11" fillId="17" fontId="9" numFmtId="0" xfId="0" applyAlignment="1" applyBorder="1" applyFill="1" applyFont="1">
      <alignment horizontal="center" readingOrder="0" shrinkToFit="0" vertical="top" wrapText="1"/>
    </xf>
    <xf borderId="19" fillId="17" fontId="5" numFmtId="0" xfId="0" applyAlignment="1" applyBorder="1" applyFill="1" applyFont="1">
      <alignment horizontal="center" shrinkToFit="0" vertical="top" wrapText="1"/>
    </xf>
    <xf borderId="20" fillId="17" fontId="7" numFmtId="0" xfId="0" applyAlignment="1" applyBorder="1" applyFill="1" applyFont="1">
      <alignment horizontal="left" shrinkToFit="0" vertical="top" wrapText="1"/>
    </xf>
    <xf borderId="20" fillId="17" fontId="9" numFmtId="0" xfId="0" applyAlignment="1" applyBorder="1" applyFill="1" applyFont="1">
      <alignment horizontal="left" shrinkToFit="0" vertical="top" wrapText="1"/>
    </xf>
    <xf borderId="20" fillId="17" fontId="9" numFmtId="0" xfId="0" applyAlignment="1" applyBorder="1" applyFill="1" applyFont="1">
      <alignment horizontal="center" shrinkToFit="0" vertical="top" wrapText="1"/>
    </xf>
    <xf borderId="21" fillId="17" fontId="9" numFmtId="0" xfId="0" applyAlignment="1" applyBorder="1" applyFill="1" applyFont="1">
      <alignment horizontal="left" shrinkToFit="0" vertical="top" wrapText="1"/>
    </xf>
    <xf borderId="19" fillId="17" fontId="5" numFmtId="0" xfId="0" applyAlignment="1" applyBorder="1" applyFill="1" applyFont="1">
      <alignment horizontal="center" readingOrder="0" shrinkToFit="0" vertical="top" wrapText="1"/>
    </xf>
    <xf borderId="20" fillId="17" fontId="7" numFmtId="0" xfId="0" applyAlignment="1" applyBorder="1" applyFill="1" applyFont="1">
      <alignment horizontal="left" readingOrder="0" shrinkToFit="0" vertical="top" wrapText="1"/>
    </xf>
    <xf borderId="0" fillId="0" fontId="4" numFmtId="0" xfId="0" applyAlignment="1" applyFont="1">
      <alignment horizontal="left" readingOrder="0" shrinkToFit="0" wrapText="1"/>
    </xf>
    <xf borderId="20" fillId="17" fontId="9" numFmtId="0" xfId="0" applyAlignment="1" applyBorder="1" applyFill="1" applyFont="1">
      <alignment horizontal="center" readingOrder="0" shrinkToFit="0" vertical="top" wrapText="1"/>
    </xf>
    <xf borderId="0" fillId="20" fontId="29" numFmtId="0" xfId="0" applyAlignment="1" applyFill="1" applyFont="1">
      <alignment horizontal="center" readingOrder="0" shrinkToFit="0" vertical="center" wrapText="1"/>
    </xf>
    <xf borderId="1" fillId="21" fontId="1" numFmtId="0" xfId="0" applyAlignment="1" applyBorder="1" applyFill="1" applyFont="1">
      <alignment horizontal="center" readingOrder="0" shrinkToFit="0" vertical="center" wrapText="1"/>
    </xf>
    <xf borderId="4" fillId="21" fontId="1" numFmtId="0" xfId="0" applyAlignment="1" applyBorder="1" applyFill="1" applyFont="1">
      <alignment horizontal="center" readingOrder="0" shrinkToFit="0" vertical="center" wrapText="1"/>
    </xf>
    <xf borderId="4" fillId="21" fontId="1" numFmtId="0" xfId="0" applyAlignment="1" applyBorder="1" applyFill="1" applyFont="1">
      <alignment horizontal="left" readingOrder="0" shrinkToFit="0" vertical="center" wrapText="1"/>
    </xf>
    <xf borderId="23" fillId="21" fontId="1" numFmtId="0" xfId="0" applyAlignment="1" applyBorder="1" applyFill="1" applyFont="1">
      <alignment horizontal="left" readingOrder="0" shrinkToFit="0" vertical="center" wrapText="1"/>
    </xf>
    <xf borderId="0" fillId="21" fontId="4" numFmtId="0" xfId="0" applyAlignment="1" applyFill="1" applyFont="1">
      <alignment readingOrder="0" shrinkToFit="0" wrapText="1"/>
    </xf>
    <xf borderId="0" fillId="6" fontId="4" numFmtId="0" xfId="0" applyAlignment="1" applyFill="1" applyFont="1">
      <alignment shrinkToFit="0" vertical="center" wrapText="1"/>
    </xf>
    <xf borderId="0" fillId="7" fontId="4" numFmtId="0" xfId="0" applyAlignment="1" applyFill="1" applyFont="1">
      <alignment readingOrder="0" shrinkToFit="0" vertical="center" wrapText="1"/>
    </xf>
    <xf borderId="0" fillId="22" fontId="4" numFmtId="0" xfId="0" applyAlignment="1" applyFill="1" applyFont="1">
      <alignment shrinkToFit="0" vertical="center" wrapText="1"/>
    </xf>
    <xf borderId="0" fillId="22" fontId="4" numFmtId="0" xfId="0" applyAlignment="1" applyFill="1" applyFont="1">
      <alignment readingOrder="0" shrinkToFit="0" vertical="center" wrapText="1"/>
    </xf>
    <xf borderId="0" fillId="22" fontId="4" numFmtId="0" xfId="0" applyAlignment="1" applyFill="1" applyFont="1">
      <alignment horizontal="left" readingOrder="0" shrinkToFit="0" vertical="center" wrapText="1"/>
    </xf>
    <xf borderId="0" fillId="22" fontId="4" numFmtId="0" xfId="0" applyAlignment="1" applyFill="1" applyFont="1">
      <alignment shrinkToFit="0" wrapText="1"/>
    </xf>
    <xf borderId="0" fillId="7" fontId="34" numFmtId="0" xfId="0" applyAlignment="1" applyFill="1" applyFont="1">
      <alignment readingOrder="0" shrinkToFit="0" vertical="center" wrapText="1"/>
    </xf>
    <xf borderId="0" fillId="22" fontId="4" numFmtId="0" xfId="0" applyAlignment="1" applyFill="1" applyFont="1">
      <alignment readingOrder="0" shrinkToFit="0" wrapText="1"/>
    </xf>
    <xf borderId="0" fillId="22" fontId="34" numFmtId="0" xfId="0" applyAlignment="1" applyFill="1" applyFont="1">
      <alignment readingOrder="0" shrinkToFit="0" vertical="center" wrapText="1"/>
    </xf>
    <xf borderId="0" fillId="7" fontId="4" numFmtId="0" xfId="0" applyAlignment="1" applyFill="1" applyFont="1">
      <alignment horizontal="left" shrinkToFit="0" vertical="center" wrapText="1"/>
    </xf>
    <xf borderId="0" fillId="22" fontId="4" numFmtId="0" xfId="0" applyAlignment="1" applyFill="1" applyFont="1">
      <alignment horizontal="left" shrinkToFit="0" wrapText="1"/>
    </xf>
    <xf borderId="0" fillId="23" fontId="24" numFmtId="0" xfId="0" applyAlignment="1" applyFill="1" applyFont="1">
      <alignment horizontal="center" readingOrder="0" shrinkToFit="0" vertical="center" wrapText="1"/>
    </xf>
    <xf borderId="0" fillId="23" fontId="24" numFmtId="0" xfId="0" applyAlignment="1" applyFill="1" applyFont="1">
      <alignment horizontal="center" shrinkToFit="0"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4" numFmtId="0" xfId="0" applyAlignment="1" applyFont="1">
      <alignment horizontal="left" shrinkToFit="0" wrapText="1"/>
    </xf>
    <xf borderId="0" fillId="0" fontId="4" numFmtId="0" xfId="0" applyAlignment="1" applyFont="1">
      <alignment readingOrder="0" shrinkToFit="0" vertical="center" wrapText="1"/>
    </xf>
    <xf borderId="0" fillId="0" fontId="4" numFmtId="0" xfId="0" applyAlignment="1" applyFont="1">
      <alignment shrinkToFit="0" vertical="center" wrapText="1"/>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4F7FA"/>
          <bgColor rgb="FFF4F7FA"/>
        </patternFill>
      </fill>
      <border/>
    </dxf>
    <dxf>
      <font/>
      <fill>
        <patternFill patternType="solid">
          <fgColor rgb="FFF4F7F9"/>
          <bgColor rgb="FFF4F7F9"/>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BDBDBD"/>
          <bgColor rgb="FFBDBDBD"/>
        </patternFill>
      </fill>
      <border/>
    </dxf>
    <dxf>
      <font/>
      <fill>
        <patternFill patternType="solid">
          <fgColor rgb="FFF3F3F3"/>
          <bgColor rgb="FFF3F3F3"/>
        </patternFill>
      </fill>
      <border/>
    </dxf>
  </dxfs>
  <tableStyles count="9">
    <tableStyle count="2" pivot="0" name="Commerce Service-style">
      <tableStyleElement dxfId="1" type="firstRowStripe"/>
      <tableStyleElement dxfId="2" type="secondRowStripe"/>
    </tableStyle>
    <tableStyle count="2" pivot="0" name="Notification Service-style">
      <tableStyleElement dxfId="1" type="firstRowStripe"/>
      <tableStyleElement dxfId="3" type="secondRowStripe"/>
    </tableStyle>
    <tableStyle count="2" pivot="0" name="Catalog Service-style">
      <tableStyleElement dxfId="1" type="firstRowStripe"/>
      <tableStyleElement dxfId="2" type="secondRowStripe"/>
    </tableStyle>
    <tableStyle count="3" pivot="0" name="API-style">
      <tableStyleElement dxfId="4" type="headerRow"/>
      <tableStyleElement dxfId="1" type="firstRowStripe"/>
      <tableStyleElement dxfId="5" type="secondRowStripe"/>
    </tableStyle>
    <tableStyle count="3" pivot="0" name="API-style 2">
      <tableStyleElement dxfId="6" type="headerRow"/>
      <tableStyleElement dxfId="1" type="firstRowStripe"/>
      <tableStyleElement dxfId="7" type="secondRowStripe"/>
    </tableStyle>
    <tableStyle count="2" pivot="0" name="Auction Service-style">
      <tableStyleElement dxfId="1" type="firstRowStripe"/>
      <tableStyleElement dxfId="2" type="secondRowStripe"/>
    </tableStyle>
    <tableStyle count="2" pivot="0" name="Fullfillment Service-style">
      <tableStyleElement dxfId="1" type="firstRowStripe"/>
      <tableStyleElement dxfId="2" type="secondRowStripe"/>
    </tableStyle>
    <tableStyle count="2" pivot="0" name="Fullfillment Service-style 2">
      <tableStyleElement dxfId="1" type="firstRowStripe"/>
      <tableStyleElement dxfId="2" type="secondRowStripe"/>
    </tableStyle>
    <tableStyle count="2" pivot="0" name="Wallet Servic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75:P108" displayName="Table_4" name="Table_4" id="4">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API-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86:O208" displayName="Table_5" name="Table_5" id="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PI-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M19"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Notification Service-style" showColumnStripes="0" showFirstColumn="1" showLastColumn="1" showRowStripes="1"/>
</table>
</file>

<file path=xl/tables/table4.xml><?xml version="1.0" encoding="utf-8"?>
<table xmlns="http://schemas.openxmlformats.org/spreadsheetml/2006/main" headerRowCount="0" ref="A2:M49" displayName="Table_3" name="Table_3" id="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mmerce Service-style" showColumnStripes="0" showFirstColumn="1" showLastColumn="1" showRowStripes="1"/>
</table>
</file>

<file path=xl/tables/table5.xml><?xml version="1.0" encoding="utf-8"?>
<table xmlns="http://schemas.openxmlformats.org/spreadsheetml/2006/main" headerRowCount="0" ref="A2:M40" displayName="Table_2" name="Table_2"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atalog Service-style" showColumnStripes="0" showFirstColumn="1" showLastColumn="1" showRowStripes="1"/>
</table>
</file>

<file path=xl/tables/table6.xml><?xml version="1.0" encoding="utf-8"?>
<table xmlns="http://schemas.openxmlformats.org/spreadsheetml/2006/main" headerRowCount="0" ref="A2:M33" displayName="Table_6" name="Table_6" id="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Auction Service-style" showColumnStripes="0" showFirstColumn="1" showLastColumn="1" showRowStripes="1"/>
</table>
</file>

<file path=xl/tables/table7.xml><?xml version="1.0" encoding="utf-8"?>
<table xmlns="http://schemas.openxmlformats.org/spreadsheetml/2006/main" headerRowCount="0" ref="A1:M1" displayName="Table_7" name="Table_7" id="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Fullfillment Service-style" showColumnStripes="0" showFirstColumn="1" showLastColumn="1" showRowStripes="1"/>
</table>
</file>

<file path=xl/tables/table8.xml><?xml version="1.0" encoding="utf-8"?>
<table xmlns="http://schemas.openxmlformats.org/spreadsheetml/2006/main" headerRowCount="0" ref="A2:M23" displayName="Table_8" name="Table_8" id="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Fullfillment Service-style 2" showColumnStripes="0" showFirstColumn="1" showLastColumn="1" showRowStripes="1"/>
</table>
</file>

<file path=xl/tables/table9.xml><?xml version="1.0" encoding="utf-8"?>
<table xmlns="http://schemas.openxmlformats.org/spreadsheetml/2006/main" headerRowCount="0" ref="A2:M12" displayName="Table_9" name="Table_9" id="9">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Wallet Servic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7.xml"/><Relationship Id="rId5"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sheet1.xml><?xml version="1.0" encoding="utf-8"?>
<worksheet xmlns="http://schemas.openxmlformats.org/spreadsheetml/2006/main" xmlns:ns1="http://schemas.openxmlformats.org/officeDocument/2006/relationships">
  <sheetPr>
    <outlinePr summaryBelow="0" summaryRight="0"/>
    <pageSetUpPr fitToPage="1"/>
  </sheetPr>
  <sheetViews>
    <sheetView workbookViewId="0"/>
  </sheetViews>
  <sheetFormatPr customHeight="1" defaultColWidth="12.63" defaultRowHeight="15.75"/>
  <cols>
    <col customWidth="1" min="1" max="1" width="10.75"/>
    <col customWidth="1" min="2" max="2" width="12.63"/>
    <col customWidth="1" min="3" max="3" width="42.75"/>
    <col customWidth="1" min="4" max="4" width="100.13"/>
    <col customWidth="1" min="5" max="5" width="57.63"/>
    <col customWidth="1" min="6" max="7" width="56.5"/>
    <col customWidth="1" min="8" max="8" width="16.13"/>
    <col customWidth="1" min="9" max="9" width="106.5"/>
    <col customWidth="1" min="10" max="10" width="85.88"/>
    <col customWidth="1" min="11" max="11" width="83.75"/>
    <col customWidth="1" min="12" max="12" width="70.38"/>
    <col customWidth="1" min="13" max="13" width="72.88"/>
    <col customWidth="1" min="14" max="14" width="49.63"/>
    <col customWidth="1" min="15" max="15" width="59.88"/>
  </cols>
  <sheetData>
    <row r="1" ht="27.0" customHeight="1">
      <c r="A1" s="3"/>
      <c r="N1" s="6"/>
      <c r="O1" s="7"/>
      <c r="P1" s="7"/>
      <c r="Q1" s="7"/>
      <c r="R1" s="7"/>
      <c r="S1" s="7"/>
      <c r="T1" s="7"/>
      <c r="U1" s="7"/>
      <c r="V1" s="7"/>
      <c r="W1" s="7"/>
      <c r="X1" s="7"/>
      <c r="Y1" s="7"/>
      <c r="Z1" s="7"/>
      <c r="AA1" s="7"/>
    </row>
    <row r="2" ht="27.0" customHeight="1">
      <c r="A2" s="10" t="s">
        <v>0</v>
      </c>
      <c r="B2" s="10" t="s">
        <v>19</v>
      </c>
      <c r="C2" s="10" t="s">
        <v>20</v>
      </c>
      <c r="D2" s="10" t="s">
        <v>4</v>
      </c>
      <c r="E2" s="10" t="s">
        <v>6</v>
      </c>
      <c r="F2" t="inlineStr">
        <is>
          <t>Response</t>
        </is>
      </c>
      <c r="G2" t="inlineStr">
        <is>
          <t>Error.</t>
        </is>
      </c>
      <c r="H2" s="16" t="s">
        <v>25</v>
      </c>
      <c r="I2" s="18">
        <v>1.0</v>
      </c>
      <c r="J2" s="18">
        <v>2.0</v>
      </c>
      <c r="K2" s="18">
        <v>3.0</v>
      </c>
      <c r="L2" s="18">
        <v>4.0</v>
      </c>
      <c r="M2" s="18">
        <v>5.0</v>
      </c>
      <c r="N2" s="18">
        <v>6.0</v>
      </c>
      <c r="O2" s="18">
        <v>7.0</v>
      </c>
      <c r="P2" s="22"/>
      <c r="Q2" s="22"/>
      <c r="R2" s="22"/>
      <c r="S2" s="22"/>
      <c r="T2" s="22"/>
      <c r="U2" s="22"/>
      <c r="V2" s="22"/>
      <c r="W2" s="22"/>
      <c r="X2" s="22"/>
      <c r="Y2" s="22"/>
      <c r="Z2" s="22"/>
      <c r="AA2" s="22"/>
    </row>
    <row r="3">
      <c r="A3" s="24">
        <v>1.0</v>
      </c>
      <c r="B3" s="26" t="s">
        <v>53</v>
      </c>
      <c r="C3" s="29" t="s">
        <v>55</v>
      </c>
      <c r="D3" s="29" t="s">
        <v>58</v>
      </c>
      <c r="E3" s="32" t="s">
        <v>62</v>
      </c>
      <c r="F3" t="inlineStr">
        <is>
          <t>201 Created:
{
  "success": true,
  "statusCode": 201,
  "message": "Đăng ký thành công, vui lòng kiểm tra email để lấy mã OTP xác thực",
  "data": {
    "userId": "uuid",
    "email": "string",
    "otpExpiresIn": "int: 300"
  },
  "traceId": "00-4bf92f3577b34da6a3ce929d0e0e4736-00f067aa0ba902b7-01",
  "timestamp": "2026-10-26T00:00:00Z"
}</t>
        </is>
      </c>
      <c r="G3" t="inlineStr">
        <is>
          <t>400 ERR_VALIDATION_FAILED: The provided input data is invalid.
409 ERR_EMAIL_ALREADY_EXISTS: Email is already registered in the system.
409 ERR_USERNAME_ALREADY_EXISTS: Username is already taken.
409 ERR_PHONE_ALREADY_EXISTS: Phone number is already registered in the system.</t>
        </is>
      </c>
      <c r="H3" s="34"/>
      <c r="I3" s="36" t="s">
        <v>85</v>
      </c>
      <c r="J3" s="38" t="s">
        <v>88</v>
      </c>
      <c r="K3" s="38" t="s">
        <v>92</v>
      </c>
      <c r="L3" s="39"/>
      <c r="M3" s="39"/>
      <c r="N3" s="40"/>
      <c r="O3" s="36"/>
      <c r="P3" s="7"/>
      <c r="Q3" s="7"/>
      <c r="R3" s="7"/>
      <c r="S3" s="7"/>
      <c r="T3" s="7"/>
      <c r="U3" s="7"/>
      <c r="V3" s="7"/>
      <c r="W3" s="7"/>
      <c r="X3" s="7"/>
      <c r="Y3" s="7"/>
      <c r="Z3" s="7"/>
      <c r="AA3" s="7"/>
    </row>
    <row r="4">
      <c r="A4" s="42">
        <v>2.0</v>
      </c>
      <c r="B4" s="43" t="s">
        <v>53</v>
      </c>
      <c r="C4" s="45" t="s">
        <v>111</v>
      </c>
      <c r="D4" s="45" t="s">
        <v>116</v>
      </c>
      <c r="E4" s="46" t="s">
        <v>120</v>
      </c>
      <c r="F4" t="inlineStr">
        <is>
          <t>200 OK:
{
  "success": true,
  "statusCode": 200,
  "message": "Kích hoạt tài khoản thành công! Bạn có thể đăng nhập ngay bây giờ",
  "data": {
    "isVerified": "boolean: true",
    "email": "string"
  },
  "traceId": "00-4bf92f3577b34da6a3ce929d0e0e4736-00f067aa0ba902b7-01",
  "timestamp": "2026-10-26T00:00:00Z"
}</t>
        </is>
      </c>
      <c r="G4" t="inlineStr">
        <is>
          <t>400 ERR_OTP_INVALID: The OTP code provided is invalid.
400 ERR_OTP_EXPIRED: The OTP code has expired.
404 ERR_USER_NOT_FOUND: Account does not exist.
409 ERR_ACCOUNT_ALREADY_ACTIVE: Account has already been verified and activated.
429 ERR_MAX_OTP_ATTEMPTS: Maximum OTP verification attempts exceeded (max 5 attempts).</t>
        </is>
      </c>
      <c r="I4" s="48" t="s">
        <v>270</v>
      </c>
      <c r="J4" s="49" t="s">
        <v>282</v>
      </c>
      <c r="K4" s="49"/>
      <c r="L4" s="50"/>
      <c r="M4" s="50"/>
      <c r="N4" s="51"/>
      <c r="O4" s="51"/>
      <c r="P4" s="7"/>
      <c r="Q4" s="7"/>
      <c r="R4" s="7"/>
      <c r="S4" s="7"/>
      <c r="T4" s="7"/>
      <c r="U4" s="7"/>
      <c r="V4" s="7"/>
      <c r="W4" s="7"/>
      <c r="X4" s="7"/>
      <c r="Y4" s="7"/>
      <c r="Z4" s="7"/>
      <c r="AA4" s="7"/>
    </row>
    <row r="5">
      <c r="A5" s="24">
        <v>3.0</v>
      </c>
      <c r="B5" s="26" t="s">
        <v>53</v>
      </c>
      <c r="C5" s="29" t="s">
        <v>332</v>
      </c>
      <c r="D5" s="29" t="s">
        <v>336</v>
      </c>
      <c r="E5" s="32" t="s">
        <v>341</v>
      </c>
      <c r="F5" t="inlineStr">
        <is>
          <t>200 OK:
{
  "success": true,
  "statusCode": 200,
  "message": "Mã OTP mới đã được gửi tới email của bạn",
  "data": {
    "email": "string",
    "resendCooldown": "int: 60"
  },
  "traceId": "00-4bf92f3577b34da6a3ce929d0e0e4736-00f067aa0ba902b7-01",
  "timestamp": "2026-10-26T00:00:00Z"
}</t>
        </is>
      </c>
      <c r="G5" t="inlineStr">
        <is>
          <t>429 ERR_OTP_COOLDOWN: Please wait at least 60 seconds before requesting another OTP.
429 ERR_MAX_DAILY_OTP: Maximum daily OTP request limit exceeded (max 10 requests).</t>
        </is>
      </c>
      <c r="I5" s="36" t="s">
        <v>398</v>
      </c>
      <c r="J5" s="38" t="s">
        <v>402</v>
      </c>
      <c r="K5" s="39"/>
      <c r="L5" s="39"/>
      <c r="M5" s="39"/>
      <c r="N5" s="40"/>
      <c r="O5" s="40"/>
      <c r="P5" s="7"/>
      <c r="Q5" s="7"/>
      <c r="R5" s="7"/>
      <c r="S5" s="7"/>
      <c r="T5" s="7"/>
      <c r="U5" s="7"/>
      <c r="V5" s="7"/>
      <c r="W5" s="7"/>
      <c r="X5" s="7"/>
      <c r="Y5" s="7"/>
      <c r="Z5" s="7"/>
      <c r="AA5" s="7"/>
    </row>
    <row r="6">
      <c r="A6" s="42">
        <v>4.0</v>
      </c>
      <c r="B6" s="43" t="s">
        <v>53</v>
      </c>
      <c r="C6" s="45" t="s">
        <v>427</v>
      </c>
      <c r="D6" s="45" t="s">
        <v>431</v>
      </c>
      <c r="E6" s="46" t="s">
        <v>434</v>
      </c>
      <c r="F6" t="inlineStr">
        <is>
          <t>201 Created:
{
  "success": true,
  "statusCode": 201,
  "message": "Đăng nhập thành công",
  "data": {
    "accessToken": "string",
    "refreshToken": "string",
    "tokenType": "Bearer",
    "expiresIn": 3600,
    "user": {
      "id": "uuid",
      "email": "string",
      "username": "string | null",
      "firstName": "string",
      "lastName": "string",
      "roles": "string[]",
      "permissions": "string[]"
    }
  },
  "traceId": "00-4bf92f3577b34da6a3ce929d0e0e4736-00f067aa0ba902b7-01",
  "timestamp": "2026-10-26T00:00:00Z"
}</t>
        </is>
      </c>
      <c r="G6" t="inlineStr">
        <is>
          <t>401 ERR_INVALID_CREDENTIALS: Invalid username, email, or password.
403 ERR_ACCOUNT_NOT_VERIFIED: Account has not been verified with OTP.
403 ERR_ACCOUNT_BANNED: Account has been locked or banned by an administrator.
423 ERR_ACCOUNT_LOCKED_TEMPORARY: Account is temporarily locked for 30 minutes due to 5 consecutive failed login attempts.</t>
        </is>
      </c>
      <c r="I6" s="48" t="s">
        <v>475</v>
      </c>
      <c r="J6" s="50"/>
      <c r="K6" s="50"/>
      <c r="L6" s="50"/>
      <c r="M6" s="50"/>
      <c r="N6" s="51"/>
      <c r="O6" s="51"/>
      <c r="P6" s="7"/>
      <c r="Q6" s="7"/>
      <c r="R6" s="7"/>
      <c r="S6" s="7"/>
      <c r="T6" s="7"/>
      <c r="U6" s="7"/>
      <c r="V6" s="7"/>
      <c r="W6" s="7"/>
      <c r="X6" s="7"/>
      <c r="Y6" s="7"/>
      <c r="Z6" s="7"/>
      <c r="AA6" s="7"/>
    </row>
    <row r="7">
      <c r="A7" s="24">
        <v>5.0</v>
      </c>
      <c r="B7" s="26" t="s">
        <v>53</v>
      </c>
      <c r="C7" s="29" t="s">
        <v>496</v>
      </c>
      <c r="D7" s="29" t="s">
        <v>499</v>
      </c>
      <c r="E7" s="32" t="s">
        <v>503</v>
      </c>
      <c r="F7" t="inlineStr">
        <is>
          <t>200 OK:
{
  "success": true,
  "statusCode": 200,
  "message": "Làm mới phiên làm việc thành công",
  "data": {
    "accessToken": "string",
    "refreshToken": "string",
    "expiresIn": 3600
  },
  "traceId": "00-4bf92f3577b34da6a3ce929d0e0e4736-00f067aa0ba902b7-01",
  "timestamp": "2026-10-26T00:00:00Z"
}</t>
        </is>
      </c>
      <c r="G7" t="inlineStr">
        <is>
          <t>401 ERR_INVALID_TOKEN: Token is invalid, expired, or malformed.
401 ERR_TOKEN_REUSED: Token reuse attack detected, session has been revoked.
401 ERR_SESSION_REVOKED: Login session has been revoked.</t>
        </is>
      </c>
      <c r="I7" s="36" t="s">
        <v>535</v>
      </c>
      <c r="J7" s="38"/>
      <c r="K7" s="39"/>
      <c r="L7" s="39"/>
      <c r="M7" s="39"/>
      <c r="N7" s="40"/>
      <c r="O7" s="40"/>
      <c r="P7" s="7"/>
      <c r="Q7" s="7"/>
      <c r="R7" s="7"/>
      <c r="S7" s="7"/>
      <c r="T7" s="7"/>
      <c r="U7" s="7"/>
      <c r="V7" s="7"/>
      <c r="W7" s="7"/>
      <c r="X7" s="7"/>
      <c r="Y7" s="7"/>
      <c r="Z7" s="7"/>
      <c r="AA7" s="7"/>
    </row>
    <row r="8">
      <c r="A8" s="42">
        <v>6.0</v>
      </c>
      <c r="B8" s="43" t="s">
        <v>53</v>
      </c>
      <c r="C8" s="45" t="s">
        <v>545</v>
      </c>
      <c r="D8" s="45" t="s">
        <v>548</v>
      </c>
      <c r="E8" s="46" t="s">
        <v>550</v>
      </c>
      <c r="F8" t="inlineStr">
        <is>
          <t>200 OK:
{
  "success": true,
  "statusCode": 200,
  "message": "Nếu email tồn tại, hướng dẫn đặt lại mật khẩu đã được gửi đến bạn",
  "data": {
    "email": "string"
  },
  "traceId": "00-4bf92f3577b34da6a3ce929d0e0e4736-00f067aa0ba902b7-01",
  "timestamp": "2026-10-26T00:00:00Z"
}</t>
        </is>
      </c>
      <c r="G8" t="inlineStr">
        <is>
          <t>429 ERR_RATE_LIMIT_EXCEEDED: Rate limit exceeded, please try again later.</t>
        </is>
      </c>
      <c r="I8" s="48" t="s">
        <v>571</v>
      </c>
      <c r="J8" s="49" t="s">
        <v>573</v>
      </c>
      <c r="K8" s="50"/>
      <c r="L8" s="50"/>
      <c r="M8" s="50"/>
      <c r="N8" s="51"/>
      <c r="O8" s="51"/>
      <c r="P8" s="7"/>
      <c r="Q8" s="7"/>
      <c r="R8" s="7"/>
      <c r="S8" s="7"/>
      <c r="T8" s="7"/>
      <c r="U8" s="7"/>
      <c r="V8" s="7"/>
      <c r="W8" s="7"/>
      <c r="X8" s="7"/>
      <c r="Y8" s="7"/>
      <c r="Z8" s="7"/>
      <c r="AA8" s="7"/>
    </row>
    <row r="9">
      <c r="A9" s="24">
        <v>7.0</v>
      </c>
      <c r="B9" s="26" t="s">
        <v>590</v>
      </c>
      <c r="C9" s="29" t="s">
        <v>593</v>
      </c>
      <c r="D9" s="29" t="s">
        <v>596</v>
      </c>
      <c r="E9" s="32" t="s">
        <v>597</v>
      </c>
      <c r="F9" t="inlineStr">
        <is>
          <t>200 OK:
{
  "success": true,
  "statusCode": 200,
  "message": "Mật khẩu đã được đặt lại thành công. Vui lòng đăng nhập lại!",
  "data": {
    "success": true
  },
  "traceId": "00-4bf92f3577b34da6a3ce929d0e0e4736-00f067aa0ba902b7-01",
  "timestamp": "2026-10-26T00:00:00Z"
}</t>
        </is>
      </c>
      <c r="G9" t="inlineStr">
        <is>
          <t>400 ERR_OTP_INVALID_OR_EXPIRED: The OTP code is invalid or has expired.
400 ERR_PASSWORD_SAME_AS_OLD: New password cannot be the same as your recent password.</t>
        </is>
      </c>
      <c r="I9" s="36" t="s">
        <v>622</v>
      </c>
      <c r="J9" s="38" t="s">
        <v>633</v>
      </c>
      <c r="K9" s="39"/>
      <c r="L9" s="39"/>
      <c r="M9" s="39"/>
      <c r="N9" s="40"/>
      <c r="O9" s="40"/>
      <c r="P9" s="7"/>
      <c r="Q9" s="7"/>
      <c r="R9" s="7"/>
      <c r="S9" s="7"/>
      <c r="T9" s="7"/>
      <c r="U9" s="7"/>
      <c r="V9" s="7"/>
      <c r="W9" s="7"/>
      <c r="X9" s="7"/>
      <c r="Y9" s="7"/>
      <c r="Z9" s="7"/>
      <c r="AA9" s="7"/>
    </row>
    <row r="10">
      <c r="A10" s="42">
        <v>8.0</v>
      </c>
      <c r="B10" s="43" t="s">
        <v>644</v>
      </c>
      <c r="C10" s="45" t="s">
        <v>648</v>
      </c>
      <c r="D10" s="45" t="s">
        <v>653</v>
      </c>
      <c r="E10" s="46" t="s">
        <v>657</v>
      </c>
      <c r="F10" t="inlineStr">
        <is>
          <t>200 OK:
{
  "success": true,
  "statusCode": 200,
  "message": "Đổi mật khẩu thành công. Vui lòng đăng nhập lại trên các thiết bị khác",
  "data": {
    "success": true
  },
  "traceId": "00-4bf92f3577b34da6a3ce929d0e0e4736-00f067aa0ba902b7-01",
  "timestamp": "2026-10-26T00:00:00Z"
}</t>
        </is>
      </c>
      <c r="G10" t="inlineStr">
        <is>
          <t>400 ERR_WRONG_OLD_PASSWORD: Current password provided is incorrect.
400 ERR_SAME_PASSWORD: New password cannot be the same as your old password.</t>
        </is>
      </c>
      <c r="I10" s="48" t="s">
        <v>684</v>
      </c>
      <c r="J10" s="49" t="s">
        <v>633</v>
      </c>
      <c r="K10" s="50"/>
      <c r="L10" s="50"/>
      <c r="M10" s="50"/>
      <c r="N10" s="51"/>
      <c r="O10" s="51"/>
      <c r="P10" s="7"/>
      <c r="Q10" s="7"/>
      <c r="R10" s="7"/>
      <c r="S10" s="7"/>
      <c r="T10" s="7"/>
      <c r="U10" s="7"/>
      <c r="V10" s="7"/>
      <c r="W10" s="7"/>
      <c r="X10" s="7"/>
      <c r="Y10" s="7"/>
      <c r="Z10" s="7"/>
      <c r="AA10" s="7"/>
    </row>
    <row r="11">
      <c r="A11" s="24">
        <v>9.0</v>
      </c>
      <c r="B11" s="26" t="s">
        <v>53</v>
      </c>
      <c r="C11" s="29" t="s">
        <v>719</v>
      </c>
      <c r="D11" s="29" t="s">
        <v>721</v>
      </c>
      <c r="E11" s="32" t="s">
        <v>724</v>
      </c>
      <c r="F11" t="inlineStr">
        <is>
          <t>200 OK:
{
  "success": true,
  "statusCode": 200,
  "message": "Đăng xuất thành công",
  "data": {
    "success": true
  },
  "traceId": "00-4bf92f3577b34da6a3ce929d0e0e4736-00f067aa0ba902b7-01",
  "timestamp": "2026-10-26T00:00:00Z"
}</t>
        </is>
      </c>
      <c r="G11" t="inlineStr">
        <is>
          <t>404 ERR_SESSION_NOT_FOUND: The specified session was not found.</t>
        </is>
      </c>
      <c r="I11" s="36" t="s">
        <v>758</v>
      </c>
      <c r="J11" s="39"/>
      <c r="K11" s="39"/>
      <c r="L11" s="39"/>
      <c r="M11" s="39"/>
      <c r="N11" s="40"/>
      <c r="O11" s="40"/>
      <c r="P11" s="7"/>
      <c r="Q11" s="7"/>
      <c r="R11" s="7"/>
      <c r="S11" s="7"/>
      <c r="T11" s="7"/>
      <c r="U11" s="7"/>
      <c r="V11" s="7"/>
      <c r="W11" s="7"/>
      <c r="X11" s="7"/>
      <c r="Y11" s="7"/>
      <c r="Z11" s="7"/>
      <c r="AA11" s="7"/>
    </row>
    <row r="12">
      <c r="A12" s="42">
        <v>10.0</v>
      </c>
      <c r="B12" s="43" t="s">
        <v>53</v>
      </c>
      <c r="C12" s="45" t="s">
        <v>771</v>
      </c>
      <c r="D12" s="45" t="s">
        <v>773</v>
      </c>
      <c r="E12" s="46" t="s">
        <v>778</v>
      </c>
      <c r="F12" t="inlineStr">
        <is>
          <t>200 OK:
{
  "success": true,
  "statusCode": 200,
  "message": "Đã đăng xuất khỏi toàn bộ các thiết bị khác thành công",
  "data": {
    "countRevoked": "int"
  },
  "traceId": "00-4bf92f3577b34da6a3ce929d0e0e4736-00f067aa0ba902b7-01",
  "timestamp": "2026-10-26T00:00:00Z"
}</t>
        </is>
      </c>
      <c r="G12" t="inlineStr">
        <is>
          <t>401 ERR_UNAUTHORIZED: Authentication required, user is not logged in.</t>
        </is>
      </c>
      <c r="I12" s="48" t="s">
        <v>800</v>
      </c>
      <c r="J12" s="50"/>
      <c r="K12" s="50"/>
      <c r="L12" s="50"/>
      <c r="M12" s="50"/>
      <c r="N12" s="51"/>
      <c r="O12" s="51"/>
      <c r="P12" s="7"/>
      <c r="Q12" s="7"/>
      <c r="R12" s="7"/>
      <c r="S12" s="7"/>
      <c r="T12" s="7"/>
      <c r="U12" s="7"/>
      <c r="V12" s="7"/>
      <c r="W12" s="7"/>
      <c r="X12" s="7"/>
      <c r="Y12" s="7"/>
      <c r="Z12" s="7"/>
      <c r="AA12" s="7"/>
    </row>
    <row r="13">
      <c r="A13" s="24">
        <v>11.0</v>
      </c>
      <c r="B13" s="26" t="s">
        <v>810</v>
      </c>
      <c r="C13" s="29" t="s">
        <v>812</v>
      </c>
      <c r="D13" s="29" t="s">
        <v>814</v>
      </c>
      <c r="E13" s="32" t="s">
        <v>778</v>
      </c>
      <c r="F13" t="inlineStr">
        <is>
          <t>200 OK:
{
  "success": true,
  "statusCode": 200,
  "message": "Lấy danh sách phiên đăng nhập thành công",
  "data": {
    "items": [
      {
        "sessionId": "uuid",
        "deviceInfo": "string",
        "ipAddress": "string",
        "lastActiveAt": "timestamp",
        "isCurrent": "boolean"
      }
    ],
    "pagination": {
      "pageIndex": 1,
      "pageSize": 20,
      "totalCount": 1,
      "totalPages": 1,
      "hasPreviousPage": false,
      "hasNextPage": false
    }
  },
  "traceId": "00-4bf92f3577b34da6a3ce929d0e0e4736-00f067aa0ba902b7-01",
  "timestamp": "2026-10-26T00:00:00Z"
}</t>
        </is>
      </c>
      <c r="G13" t="inlineStr">
        <is>
          <t>401 ERR_UNAUTHORIZED: Authentication required, user is not logged in.</t>
        </is>
      </c>
      <c r="I13" s="36" t="s">
        <v>835</v>
      </c>
      <c r="J13" s="39"/>
      <c r="K13" s="39"/>
      <c r="L13" s="39"/>
      <c r="M13" s="39"/>
      <c r="N13" s="40"/>
      <c r="O13" s="40"/>
      <c r="P13" s="7"/>
      <c r="Q13" s="7"/>
      <c r="R13" s="7"/>
      <c r="S13" s="7"/>
      <c r="T13" s="7"/>
      <c r="U13" s="7"/>
      <c r="V13" s="7"/>
      <c r="W13" s="7"/>
      <c r="X13" s="7"/>
      <c r="Y13" s="7"/>
      <c r="Z13" s="7"/>
      <c r="AA13" s="7"/>
    </row>
    <row r="14">
      <c r="A14" s="42">
        <v>12.0</v>
      </c>
      <c r="B14" s="43" t="s">
        <v>846</v>
      </c>
      <c r="C14" s="45" t="s">
        <v>848</v>
      </c>
      <c r="D14" s="45" t="s">
        <v>850</v>
      </c>
      <c r="E14" s="46" t="s">
        <v>856</v>
      </c>
      <c r="F14" t="inlineStr">
        <is>
          <t>200 OK:
{
  "success": true,
  "statusCode": 200,
  "message": "Đã thu hồi phiên đăng nhập thành công",
  "data": {
    "revokedSessionId": "uuid"
  },
  "traceId": "00-4bf92f3577b34da6a3ce929d0e0e4736-00f067aa0ba902b7-01",
  "timestamp": "2026-10-26T00:00:00Z"
}</t>
        </is>
      </c>
      <c r="G14" t="inlineStr">
        <is>
          <t>403 ERR_FORBIDDEN: You do not have permission to manage another user session.
404 ERR_SESSION_NOT_FOUND: The specified session was not found.</t>
        </is>
      </c>
      <c r="I14" s="48" t="s">
        <v>883</v>
      </c>
      <c r="J14" s="50"/>
      <c r="K14" s="50"/>
      <c r="L14" s="50"/>
      <c r="M14" s="50"/>
      <c r="N14" s="51"/>
      <c r="O14" s="51"/>
      <c r="P14" s="7"/>
      <c r="Q14" s="7"/>
      <c r="R14" s="7"/>
      <c r="S14" s="7"/>
      <c r="T14" s="7"/>
      <c r="U14" s="7"/>
      <c r="V14" s="7"/>
      <c r="W14" s="7"/>
      <c r="X14" s="7"/>
      <c r="Y14" s="7"/>
      <c r="Z14" s="7"/>
      <c r="AA14" s="7"/>
    </row>
    <row r="15">
      <c r="A15" s="24">
        <v>13.0</v>
      </c>
      <c r="B15" s="26" t="s">
        <v>810</v>
      </c>
      <c r="C15" s="29" t="s">
        <v>925</v>
      </c>
      <c r="D15" s="29" t="s">
        <v>928</v>
      </c>
      <c r="E15" s="32" t="s">
        <v>778</v>
      </c>
      <c r="F15" t="inlineStr">
        <is>
          <t>200 OK:
{
  "success": true,
  "statusCode": 200,
  "message": "Lấy thông tin cá nhân thành công",
  "data": {
    "id": "uuid",
    "email": "string",
    "username": "string | null",
    "firstName": "string",
    "lastName": "string",
    "phoneNumber": "string",
    "avatarUrl": "string",
    "address": "string",
    "reputationScore": "int",
    "trustLevel": "string",
    "roles": "string[]",
    "permissions": "string[]",
    "isSeller": "boolean",
    "createdAt": "timestamp"
  },
  "traceId": "00-4bf92f3577b34da6a3ce929d0e0e4736-00f067aa0ba902b7-01",
  "timestamp": "2026-10-26T00:00:00Z"
}</t>
        </is>
      </c>
      <c r="G15" t="inlineStr">
        <is>
          <t>401 ERR_UNAUTHORIZED: Authentication required, token is missing or expired.
404 ERR_USER_NOT_FOUND: User was not found.</t>
        </is>
      </c>
      <c r="I15" s="36" t="s">
        <v>968</v>
      </c>
      <c r="J15" s="38" t="s">
        <v>972</v>
      </c>
      <c r="K15" s="39"/>
      <c r="L15" s="39"/>
      <c r="M15" s="39"/>
      <c r="N15" s="40"/>
      <c r="O15" s="40"/>
      <c r="P15" s="7"/>
      <c r="Q15" s="7"/>
      <c r="R15" s="7"/>
      <c r="S15" s="7"/>
      <c r="T15" s="7"/>
      <c r="U15" s="7"/>
      <c r="V15" s="7"/>
      <c r="W15" s="7"/>
      <c r="X15" s="7"/>
      <c r="Y15" s="7"/>
      <c r="Z15" s="7"/>
      <c r="AA15" s="7"/>
    </row>
    <row r="16">
      <c r="A16" s="42">
        <v>14.0</v>
      </c>
      <c r="B16" s="43" t="s">
        <v>644</v>
      </c>
      <c r="C16" s="45" t="s">
        <v>925</v>
      </c>
      <c r="D16" s="45" t="s">
        <v>997</v>
      </c>
      <c r="E16" s="46" t="s">
        <v>1004</v>
      </c>
      <c r="F16" t="inlineStr">
        <is>
          <t>200 OK:
{
  "success": true,
  "statusCode": 200,
  "message": "Cập nhật hồ sơ thành công",
  "data": {
    "id": "uuid",
    "username": "string | null",
    "firstName": "string",
    "lastName": "string",
    "phoneNumber": "string",
    "avatarUrl": "string",
    "address": "string",
    "updatedAt": "timestamp"
  },
  "traceId": "00-4bf92f3577b34da6a3ce929d0e0e4736-00f067aa0ba902b7-01",
  "timestamp": "2026-10-26T00:00:00Z"
}</t>
        </is>
      </c>
      <c r="G16" t="inlineStr">
        <is>
          <t>400 ERR_VALIDATION_FAILED: The provided input data or address is invalid.
409 ERR_USERNAME_DUPLICATE: Username is already taken by another account.
409 ERR_PHONE_DUPLICATE: Phone number is already registered by another account.</t>
        </is>
      </c>
      <c r="I16" s="48" t="s">
        <v>1017</v>
      </c>
      <c r="J16" s="50"/>
      <c r="K16" s="50"/>
      <c r="L16" s="50"/>
      <c r="M16" s="50"/>
      <c r="N16" s="51"/>
      <c r="O16" s="51"/>
      <c r="P16" s="7"/>
      <c r="Q16" s="7"/>
      <c r="R16" s="7"/>
      <c r="S16" s="7"/>
      <c r="T16" s="7"/>
      <c r="U16" s="7"/>
      <c r="V16" s="7"/>
      <c r="W16" s="7"/>
      <c r="X16" s="7"/>
      <c r="Y16" s="7"/>
      <c r="Z16" s="7"/>
      <c r="AA16" s="7"/>
    </row>
    <row r="17">
      <c r="A17" s="24">
        <v>15.0</v>
      </c>
      <c r="B17" s="26" t="s">
        <v>810</v>
      </c>
      <c r="C17" s="29" t="s">
        <v>1050</v>
      </c>
      <c r="D17" s="29" t="s">
        <v>1055</v>
      </c>
      <c r="E17" s="32" t="s">
        <v>778</v>
      </c>
      <c r="F17" t="inlineStr">
        <is>
          <t>200 OK:
{
  "success": true,
  "statusCode": 200,
  "message": "Lấy avatar thành công",
  "data": {
    "userId": "uuid",
    "avatarUrl": "string"
  },
  "traceId": "00-4bf92f3577b34da6a3ce929d0e0e4736-00f067aa0ba902b7-01",
  "timestamp": "2026-10-26T00:00:00Z"
}</t>
        </is>
      </c>
      <c r="G17" t="inlineStr">
        <is>
          <t>401 ERR_UNAUTHORIZED: Authentication required, token is missing or expired.
404 ERR_USER_NOT_FOUND: User was not found.</t>
        </is>
      </c>
      <c r="I17" s="36" t="s">
        <v>1100</v>
      </c>
      <c r="J17" s="38"/>
      <c r="K17" s="39"/>
      <c r="L17" s="39"/>
      <c r="M17" s="39"/>
      <c r="N17" s="40"/>
      <c r="O17" s="40"/>
      <c r="P17" s="7"/>
      <c r="Q17" s="7"/>
      <c r="R17" s="7"/>
      <c r="S17" s="7"/>
      <c r="T17" s="7"/>
      <c r="U17" s="7"/>
      <c r="V17" s="7"/>
      <c r="W17" s="7"/>
      <c r="X17" s="7"/>
      <c r="Y17" s="7"/>
      <c r="Z17" s="7"/>
      <c r="AA17" s="7"/>
    </row>
    <row r="18">
      <c r="A18" s="42">
        <v>16.0</v>
      </c>
      <c r="B18" s="43" t="s">
        <v>53</v>
      </c>
      <c r="C18" s="45" t="s">
        <v>1050</v>
      </c>
      <c r="D18" s="45" t="s">
        <v>1121</v>
      </c>
      <c r="E18" s="46" t="s">
        <v>1125</v>
      </c>
      <c r="F18" t="inlineStr">
        <is>
          <t>200 OK:
{
  "success": true,
  "statusCode": 200,
  "message": "Cập nhật ảnh đại diện thành công",
  "data": {
    "avatarUrl": "string",
    "updatedAt": "timestamp"
  },
  "traceId": "00-4bf92f3577b34da6a3ce929d0e0e4736-00f067aa0ba902b7-01",
  "timestamp": "2026-10-26T00:00:00Z"
}</t>
        </is>
      </c>
      <c r="G18" t="inlineStr">
        <is>
          <t>400 ERR_INVALID_FILE_TYPE: Unsupported file format, only JPG, PNG, and WEBP are accepted.
413 ERR_FILE_TOO_LARGE: File size exceeds maximum allowed limit of 5mb.
500 ERR_STORAGE_UPLOAD_FAILED: Internal server error occurred while storing uploaded file.</t>
        </is>
      </c>
      <c r="I18" s="48" t="s">
        <v>1162</v>
      </c>
      <c r="J18" s="50"/>
      <c r="K18" s="50"/>
      <c r="L18" s="50"/>
      <c r="M18" s="50"/>
      <c r="N18" s="51"/>
      <c r="O18" s="51"/>
      <c r="P18" s="7"/>
      <c r="Q18" s="7"/>
      <c r="R18" s="7"/>
      <c r="S18" s="7"/>
      <c r="T18" s="7"/>
      <c r="U18" s="7"/>
      <c r="V18" s="7"/>
      <c r="W18" s="7"/>
      <c r="X18" s="7"/>
      <c r="Y18" s="7"/>
      <c r="Z18" s="7"/>
      <c r="AA18" s="7"/>
    </row>
    <row r="19">
      <c r="A19" s="24">
        <v>17.0</v>
      </c>
      <c r="B19" s="26" t="s">
        <v>810</v>
      </c>
      <c r="C19" s="29" t="s">
        <v>1184</v>
      </c>
      <c r="D19" s="29" t="s">
        <v>1187</v>
      </c>
      <c r="E19" s="32" t="s">
        <v>778</v>
      </c>
      <c r="F19" t="inlineStr">
        <is>
          <t>200 OK:
{
  "success": true,
  "statusCode": 200,
  "message": "Lấy thông tin uy tín cá nhân thành công",
  "data": {
    "userId": "uuid",
    "reputationScore": "int",
    "trustLevel": "string",
    "canBid": "boolean",
    "canSell": "boolean",
    "positiveRatingCount": "int",
    "negativeRatingCount": "int",
    "nextLevelThreshold": "int"
  },
  "traceId": "00-4bf92f3577b34da6a3ce929d0e0e4736-00f067aa0ba902b7-01",
  "timestamp": "2026-10-26T00:00:00Z"
}</t>
        </is>
      </c>
      <c r="G19" t="inlineStr">
        <is>
          <t>401 ERR_UNAUTHORIZED: Authentication required, token is invalid or missing.
404 ERR_USER_NOT_FOUND: User account was not found.</t>
        </is>
      </c>
      <c r="I19" s="36" t="s">
        <v>1225</v>
      </c>
      <c r="J19" s="38" t="s">
        <v>1229</v>
      </c>
      <c r="K19" s="39"/>
      <c r="L19" s="39"/>
      <c r="M19" s="39"/>
      <c r="N19" s="40"/>
      <c r="O19" s="40"/>
      <c r="P19" s="7"/>
      <c r="Q19" s="7"/>
      <c r="R19" s="7"/>
      <c r="S19" s="7"/>
      <c r="T19" s="7"/>
      <c r="U19" s="7"/>
      <c r="V19" s="7"/>
      <c r="W19" s="7"/>
      <c r="X19" s="7"/>
      <c r="Y19" s="7"/>
      <c r="Z19" s="7"/>
      <c r="AA19" s="7"/>
    </row>
    <row r="20">
      <c r="A20" s="42">
        <v>18.0</v>
      </c>
      <c r="B20" s="43" t="s">
        <v>810</v>
      </c>
      <c r="C20" s="45" t="s">
        <v>1242</v>
      </c>
      <c r="D20" s="45" t="s">
        <v>1244</v>
      </c>
      <c r="E20" s="46" t="s">
        <v>1248</v>
      </c>
      <c r="F20" t="inlineStr">
        <is>
          <t>200 OK:
{
  "success": true,
  "statusCode": 200,
  "message": "Lấy lịch sử vi phạm thành công",
  "data": {
    "items": [
      {
        "id": "uuid",
        "violationType": "string",
        "reason": "string",
        "penaltyApplied": "string",
        "pointsDeducted": "int",
        "status": "string",
        "issuedAt": "timestamp",
        "expiresAt": "timestamp"
      }
    ],
    "pagination": {
      "pageIndex": 1,
      "pageSize": 20,
      "totalCount": 100,
      "totalPages": 5,
      "hasPreviousPage": false,
      "hasNextPage": true
    }
  },
  "traceId": "00-4bf92f3577b34da6a3ce929d0e0e4736-00f067aa0ba902b7-01",
  "timestamp": "2026-10-26T00:00:00Z"
}</t>
        </is>
      </c>
      <c r="G20" t="inlineStr">
        <is>
          <t>401 ERR_UNAUTHORIZED: Authentication required, session is missing or expired.</t>
        </is>
      </c>
      <c r="I20" s="48" t="s">
        <v>1296</v>
      </c>
      <c r="J20" s="49" t="s">
        <v>1298</v>
      </c>
      <c r="K20" s="49" t="s">
        <v>1301</v>
      </c>
      <c r="L20" s="49" t="s">
        <v>1304</v>
      </c>
      <c r="M20" s="50"/>
      <c r="N20" s="51"/>
      <c r="O20" s="51"/>
      <c r="P20" s="7"/>
      <c r="Q20" s="7"/>
      <c r="R20" s="7"/>
      <c r="S20" s="7"/>
      <c r="T20" s="7"/>
      <c r="U20" s="7"/>
      <c r="V20" s="7"/>
      <c r="W20" s="7"/>
      <c r="X20" s="7"/>
      <c r="Y20" s="7"/>
      <c r="Z20" s="7"/>
      <c r="AA20" s="7"/>
    </row>
    <row r="21">
      <c r="A21" s="24">
        <v>19.0</v>
      </c>
      <c r="B21" s="26" t="s">
        <v>810</v>
      </c>
      <c r="C21" s="29" t="s">
        <v>1330</v>
      </c>
      <c r="D21" s="29" t="s">
        <v>1333</v>
      </c>
      <c r="E21" s="32" t="s">
        <v>1334</v>
      </c>
      <c r="F21" t="inlineStr">
        <is>
          <t>200 OK:
{
  "success": true,
  "statusCode": 200,
  "message": "Lấy thông tin hồ sơ công khai thành công",
  "data": {
    "id": "uuid",
    "username": "string | null",
    "firstName": "string",
    "lastName": "string",
    "avatarUrl": "string",
    "reputationScore": "int",
    "trustLevel": "string",
    "badges": "string[]",
    "isSeller": "boolean",
    "joinedAt": "timestamp"
  },
  "traceId": "00-4bf92f3577b34da6a3ce929d0e0e4736-00f067aa0ba902b7-01",
  "timestamp": "2026-10-26T00:00:00Z"
}</t>
        </is>
      </c>
      <c r="G21" t="inlineStr">
        <is>
          <t>400 ERR_USER_INACTIVE: Account is not active or has been deleted.
404 ERR_USER_NOT_FOUND: User was not found.</t>
        </is>
      </c>
      <c r="I21" s="36" t="s">
        <v>1366</v>
      </c>
      <c r="J21" s="39"/>
      <c r="K21" s="39"/>
      <c r="L21" s="39"/>
      <c r="M21" s="39"/>
      <c r="N21" s="40"/>
      <c r="O21" s="40"/>
      <c r="P21" s="7"/>
      <c r="Q21" s="7"/>
      <c r="R21" s="7"/>
      <c r="S21" s="7"/>
      <c r="T21" s="7"/>
      <c r="U21" s="7"/>
      <c r="V21" s="7"/>
      <c r="W21" s="7"/>
      <c r="X21" s="7"/>
      <c r="Y21" s="7"/>
      <c r="Z21" s="7"/>
      <c r="AA21" s="7"/>
    </row>
    <row r="22">
      <c r="A22" s="42">
        <v>20.0</v>
      </c>
      <c r="B22" s="43" t="s">
        <v>810</v>
      </c>
      <c r="C22" s="45" t="s">
        <v>1380</v>
      </c>
      <c r="D22" s="45" t="s">
        <v>1383</v>
      </c>
      <c r="E22" s="46" t="s">
        <v>1334</v>
      </c>
      <c r="F22" t="inlineStr">
        <is>
          <t>200 OK:
{
  "success": true,
  "statusCode": 200,
  "message": "Lấy avatar thành công",
  "data": {
    "userId": "uuid",
    "avatarUrl": "string"
  },
  "traceId": "00-4bf92f3577b34da6a3ce929d0e0e4736-00f067aa0ba902b7-01",
  "timestamp": "2026-10-26T00:00:00Z"
}</t>
        </is>
      </c>
      <c r="G22" t="inlineStr">
        <is>
          <t>404 ERR_USER_NOT_FOUND: User was not found.</t>
        </is>
      </c>
      <c r="I22" s="48" t="s">
        <v>1408</v>
      </c>
      <c r="J22" s="50"/>
      <c r="K22" s="50"/>
      <c r="L22" s="50"/>
      <c r="M22" s="50"/>
      <c r="N22" s="51"/>
      <c r="O22" s="51"/>
      <c r="P22" s="7"/>
      <c r="Q22" s="7"/>
      <c r="R22" s="7"/>
      <c r="S22" s="7"/>
      <c r="T22" s="7"/>
      <c r="U22" s="7"/>
      <c r="V22" s="7"/>
      <c r="W22" s="7"/>
      <c r="X22" s="7"/>
      <c r="Y22" s="7"/>
      <c r="Z22" s="7"/>
      <c r="AA22" s="7"/>
    </row>
    <row r="23">
      <c r="A23" s="24">
        <v>21.0</v>
      </c>
      <c r="B23" s="26" t="s">
        <v>810</v>
      </c>
      <c r="C23" s="29" t="s">
        <v>1426</v>
      </c>
      <c r="D23" s="29" t="s">
        <v>1429</v>
      </c>
      <c r="E23" s="32" t="s">
        <v>1433</v>
      </c>
      <c r="F23" t="inlineStr">
        <is>
          <t>200 OK:
{
  "success": true,
  "statusCode": 200,
  "message": "Lấy thông tin cửa hàng thành công",
  "data": {
    "sellerId": "uuid",
    "shopName": "string",
    "avatarUrl": "string",
    "ratingAvg": "decimal",
    "totalReviews": "int",
    "joinedAt": "timestamp"
  },
  "traceId": "00-4bf92f3577b34da6a3ce929d0e0e4736-00f067aa0ba902b7-01",
  "timestamp": "2026-10-26T00:00:00Z"
}</t>
        </is>
      </c>
      <c r="G23" t="inlineStr">
        <is>
          <t>404 ERR_SELLER_NOT_FOUND: Shop does not exist or has been deactivated.</t>
        </is>
      </c>
      <c r="I23" s="36" t="s">
        <v>1450</v>
      </c>
      <c r="J23" s="38" t="s">
        <v>1453</v>
      </c>
      <c r="K23" s="38" t="s">
        <v>1455</v>
      </c>
      <c r="L23" s="38" t="s">
        <v>1461</v>
      </c>
      <c r="M23" s="38" t="s">
        <v>1465</v>
      </c>
      <c r="N23" s="40"/>
      <c r="O23" s="40"/>
      <c r="P23" s="7"/>
      <c r="Q23" s="7"/>
      <c r="R23" s="7"/>
      <c r="S23" s="7"/>
      <c r="T23" s="7"/>
      <c r="U23" s="7"/>
      <c r="V23" s="7"/>
      <c r="W23" s="7"/>
      <c r="X23" s="7"/>
      <c r="Y23" s="7"/>
      <c r="Z23" s="7"/>
      <c r="AA23" s="7"/>
    </row>
    <row r="24">
      <c r="A24" s="42">
        <v>22.0</v>
      </c>
      <c r="B24" s="43" t="s">
        <v>810</v>
      </c>
      <c r="C24" s="45" t="s">
        <v>1483</v>
      </c>
      <c r="D24" s="45" t="s">
        <v>1486</v>
      </c>
      <c r="E24" s="46" t="s">
        <v>1334</v>
      </c>
      <c r="F24" t="inlineStr">
        <is>
          <t>200 OK:
{
  "success": true,
  "statusCode": 200,
  "message": "Lấy tóm tắt uy tín thành công",
  "data": {
    "userId": "uuid",
    "reputationScore": "int",
    "trustLevel": "string",
    "badges": "string[]",
    "canBid": "boolean",
    "canSell": "boolean",
    "totalReviews": "int",
    "positiveRatio": "decimal"
  },
  "traceId": "00-4bf92f3577b34da6a3ce929d0e0e4736-00f067aa0ba902b7-01",
  "timestamp": "2026-10-26T00:00:00Z"
}</t>
        </is>
      </c>
      <c r="G24" t="inlineStr">
        <is>
          <t>404 ERR_USER_NOT_FOUND: User was not found.</t>
        </is>
      </c>
      <c r="I24" s="48" t="s">
        <v>1519</v>
      </c>
      <c r="J24" s="50"/>
      <c r="K24" s="50"/>
      <c r="L24" s="50"/>
      <c r="M24" s="50"/>
      <c r="N24" s="51"/>
      <c r="O24" s="51"/>
      <c r="P24" s="7"/>
      <c r="Q24" s="7"/>
      <c r="R24" s="7"/>
      <c r="S24" s="7"/>
      <c r="T24" s="7"/>
      <c r="U24" s="7"/>
      <c r="V24" s="7"/>
      <c r="W24" s="7"/>
      <c r="X24" s="7"/>
      <c r="Y24" s="7"/>
      <c r="Z24" s="7"/>
      <c r="AA24" s="7"/>
    </row>
    <row r="25">
      <c r="A25" s="24">
        <v>23.0</v>
      </c>
      <c r="B25" s="26" t="s">
        <v>810</v>
      </c>
      <c r="C25" s="29" t="s">
        <v>1556</v>
      </c>
      <c r="D25" s="29" t="s">
        <v>1559</v>
      </c>
      <c r="E25" s="32" t="s">
        <v>1565</v>
      </c>
      <c r="F25" t="inlineStr">
        <is>
          <t>200 OK:
{
  "success": true,
  "statusCode": 200,
  "message": "Lấy lịch sử uy tín thành công",
  "data": {
    "items": [
      {
        "id": "int",
        "changeAmount": "int",
        "scoreAfter": "int",
        "reason": "string",
        "referenceType": "string",
        "createdAt": "timestamp"
      }
    ],
    "pagination": {
      "pageIndex": 1,
      "pageSize": 20,
      "totalCount": 100,
      "totalPages": 5,
      "hasPreviousPage": false,
      "hasNextPage": true
    }
  },
  "traceId": "00-4bf92f3577b34da6a3ce929d0e0e4736-00f067aa0ba902b7-01",
  "timestamp": "2026-10-26T00:00:00Z"
}</t>
        </is>
      </c>
      <c r="G25" t="inlineStr">
        <is>
          <t>401 ERR_UNAUTHORIZED: Authentication required, user is not logged in.
403 ERR_FORBIDDEN: You do not have permission to view other users reputation history.</t>
        </is>
      </c>
      <c r="I25" s="36" t="s">
        <v>1620</v>
      </c>
      <c r="J25" s="38" t="s">
        <v>1623</v>
      </c>
      <c r="K25" s="38" t="s">
        <v>1626</v>
      </c>
      <c r="L25" s="38" t="s">
        <v>1629</v>
      </c>
      <c r="M25" s="38" t="s">
        <v>1633</v>
      </c>
      <c r="N25" s="36" t="s">
        <v>1636</v>
      </c>
      <c r="O25" s="40"/>
      <c r="P25" s="7"/>
      <c r="Q25" s="7"/>
      <c r="R25" s="7"/>
      <c r="S25" s="7"/>
      <c r="T25" s="7"/>
      <c r="U25" s="7"/>
      <c r="V25" s="7"/>
      <c r="W25" s="7"/>
      <c r="X25" s="7"/>
      <c r="Y25" s="7"/>
      <c r="Z25" s="7"/>
      <c r="AA25" s="7"/>
    </row>
    <row r="26">
      <c r="A26" s="42">
        <v>24.0</v>
      </c>
      <c r="B26" s="43" t="s">
        <v>810</v>
      </c>
      <c r="C26" s="45" t="s">
        <v>1651</v>
      </c>
      <c r="D26" s="45" t="s">
        <v>1653</v>
      </c>
      <c r="E26" s="46" t="s">
        <v>1654</v>
      </c>
      <c r="F26" t="inlineStr">
        <is>
          <t>200 OK:
{
  "success": true,
  "statusCode": 200,
  "message": "Lấy danh sách đánh giá thành công",
  "data": {
    "items": [
      {
        "id": "uuid",
        "reviewerName": "string",
        "rating": "int",
        "comment": "string",
        "mediaUrls": "string[]",
        "createdAt": "timestamp"
      }
    ],
    "pagination": {
      "pageIndex": 1,
      "pageSize": 20,
      "totalCount": 100,
      "totalPages": 5,
      "hasPreviousPage": false,
      "hasNextPage": true
    }
  },
  "traceId": "00-4bf92f3577b34da6a3ce929d0e0e4736-00f067aa0ba902b7-01",
  "timestamp": "2026-10-26T00:00:00Z"
}</t>
        </is>
      </c>
      <c r="G26" t="inlineStr">
        <is>
          <t>404 ERR_USER_NOT_FOUND: User was not found.</t>
        </is>
      </c>
      <c r="I26" s="48" t="s">
        <v>1683</v>
      </c>
      <c r="J26" s="49"/>
      <c r="K26" s="50"/>
      <c r="L26" s="50"/>
      <c r="M26" s="50"/>
      <c r="N26" s="51"/>
      <c r="O26" s="51"/>
      <c r="P26" s="7"/>
      <c r="Q26" s="7"/>
      <c r="R26" s="7"/>
      <c r="S26" s="7"/>
      <c r="T26" s="7"/>
      <c r="U26" s="7"/>
      <c r="V26" s="7"/>
      <c r="W26" s="7"/>
      <c r="X26" s="7"/>
      <c r="Y26" s="7"/>
      <c r="Z26" s="7"/>
      <c r="AA26" s="7"/>
    </row>
    <row r="27">
      <c r="A27" s="24">
        <v>25.0</v>
      </c>
      <c r="B27" s="26" t="s">
        <v>53</v>
      </c>
      <c r="C27" s="29" t="s">
        <v>1692</v>
      </c>
      <c r="D27" s="29" t="s">
        <v>1694</v>
      </c>
      <c r="E27" s="32" t="s">
        <v>1695</v>
      </c>
      <c r="F27" t="inlineStr">
        <is>
          <t>200 OK:
{
  "success": true,
  "statusCode": 200,
  "message": "Upload ảnh đánh giá thành công",
  "data": {
    "fileUrls": "string[]"
  },
  "traceId": "00-4bf92f3577b34da6a3ce929d0e0e4736-00f067aa0ba902b7-01",
  "timestamp": "2026-10-26T00:00:00Z"
}</t>
        </is>
      </c>
      <c r="G27" t="inlineStr">
        <is>
          <t>400 ERR_FILE_LIMIT_EXCEEDED: Maximum limit of 5 attached images exceeded.
401 ERR_UNAUTHORIZED: Authentication required, user is not logged in.</t>
        </is>
      </c>
      <c r="I27" s="36" t="s">
        <v>1707</v>
      </c>
      <c r="J27" s="38" t="s">
        <v>1709</v>
      </c>
      <c r="K27" s="39"/>
      <c r="L27" s="39"/>
      <c r="M27" s="39"/>
      <c r="N27" s="40"/>
      <c r="O27" s="40"/>
      <c r="P27" s="7"/>
      <c r="Q27" s="7"/>
      <c r="R27" s="7"/>
      <c r="S27" s="7"/>
      <c r="T27" s="7"/>
      <c r="U27" s="7"/>
      <c r="V27" s="7"/>
      <c r="W27" s="7"/>
      <c r="X27" s="7"/>
      <c r="Y27" s="7"/>
      <c r="Z27" s="7"/>
      <c r="AA27" s="7"/>
    </row>
    <row r="28">
      <c r="A28" s="42">
        <v>26.0</v>
      </c>
      <c r="B28" s="43" t="s">
        <v>53</v>
      </c>
      <c r="C28" s="45" t="s">
        <v>1716</v>
      </c>
      <c r="D28" s="45" t="s">
        <v>1718</v>
      </c>
      <c r="E28" s="46" t="s">
        <v>1719</v>
      </c>
      <c r="F28" t="inlineStr">
        <is>
          <t>201 Created:
{
  "success": true,
  "statusCode": 201,
  "message": "Gửi đánh giá thành công! Điểm uy tín của đối tác đã được cập nhật",
  "data": {
    "reviewId": "uuid",
    "newTargetReputationScore": "int"
  },
  "traceId": "00-4bf92f3577b34da6a3ce929d0e0e4736-00f067aa0ba902b7-01",
  "timestamp": "2026-10-26T00:00:00Z"
}</t>
        </is>
      </c>
      <c r="G28" t="inlineStr">
        <is>
          <t>400 ERR_TRANSACTION_NOT_COMPLETED: Transaction is not yet completed.
400 ERR_REVIEW_WINDOW_EXPIRED: Review submission period of 7 days has expired.
401 ERR_UNAUTHORIZED: Authentication required, user is not logged in.
403 ERR_NOT_TRANSACTION_PARTY: You are not a participant in this transaction.
409 ERR_REVIEW_ALREADY_EXISTS: A review has already been submitted for this transaction.</t>
        </is>
      </c>
      <c r="I28" s="48" t="s">
        <v>1709</v>
      </c>
      <c r="J28" s="49" t="s">
        <v>1726</v>
      </c>
      <c r="K28" s="49" t="s">
        <v>1733</v>
      </c>
      <c r="L28" s="49" t="s">
        <v>1735</v>
      </c>
      <c r="M28" s="49" t="s">
        <v>1736</v>
      </c>
      <c r="N28" s="48" t="s">
        <v>1738</v>
      </c>
      <c r="O28" s="48" t="s">
        <v>1742</v>
      </c>
      <c r="P28" s="7"/>
      <c r="Q28" s="7"/>
      <c r="R28" s="7"/>
      <c r="S28" s="7"/>
      <c r="T28" s="7"/>
      <c r="U28" s="7"/>
      <c r="V28" s="7"/>
      <c r="W28" s="7"/>
      <c r="X28" s="7"/>
      <c r="Y28" s="7"/>
      <c r="Z28" s="7"/>
      <c r="AA28" s="7"/>
    </row>
    <row r="29">
      <c r="A29" s="24">
        <v>27.0</v>
      </c>
      <c r="B29" s="24" t="s">
        <v>53</v>
      </c>
      <c r="C29" s="29" t="s">
        <v>1748</v>
      </c>
      <c r="D29" s="29" t="s">
        <v>1750</v>
      </c>
      <c r="E29" s="32" t="s">
        <v>1752</v>
      </c>
      <c r="F29" t="inlineStr">
        <is>
          <t>200 OK:
{
  "success": true,
  "statusCode": 200,
  "message": "Upload bằng chứng tố cáo thành công",
  "data": {
    "fileUrls": "string[]"
  },
  "traceId": "00-4bf92f3577b34da6a3ce929d0e0e4736-00f067aa0ba902b7-01",
  "timestamp": "2026-10-26T00:00:00Z"
}</t>
        </is>
      </c>
      <c r="G29" t="inlineStr">
        <is>
          <t>400 ERR_INVALID_FILE_TYPE: Invalid file format, only images up to 5mb are accepted.
401 ERR_UNAUTHORIZED: Authentication required, user is not logged in.</t>
        </is>
      </c>
      <c r="I29" s="36" t="s">
        <v>1760</v>
      </c>
      <c r="J29" s="38" t="s">
        <v>1761</v>
      </c>
      <c r="K29" s="39"/>
      <c r="L29" s="39"/>
      <c r="M29" s="39"/>
      <c r="N29" s="40"/>
      <c r="O29" s="40"/>
      <c r="P29" s="7"/>
      <c r="Q29" s="7"/>
      <c r="R29" s="7"/>
      <c r="S29" s="7"/>
      <c r="T29" s="7"/>
      <c r="U29" s="7"/>
      <c r="V29" s="7"/>
      <c r="W29" s="7"/>
      <c r="X29" s="7"/>
      <c r="Y29" s="7"/>
      <c r="Z29" s="7"/>
      <c r="AA29" s="7"/>
    </row>
    <row r="30">
      <c r="A30" s="42">
        <v>28.0</v>
      </c>
      <c r="B30" s="42" t="s">
        <v>53</v>
      </c>
      <c r="C30" s="45" t="s">
        <v>1762</v>
      </c>
      <c r="D30" s="45" t="s">
        <v>1763</v>
      </c>
      <c r="E30" s="46" t="s">
        <v>1764</v>
      </c>
      <c r="F30" t="inlineStr">
        <is>
          <t>201 Created:
{
  "success": true,
  "statusCode": 201,
  "message": "Gửi đơn tố cáo thành công. Nhân viên sẽ thụ lý trong 24h",
  "data": {
    "reportId": "uuid",
    "status": "PENDING",
    "submittedAt": "timestamp"
  },
  "traceId": "00-4bf92f3577b34da6a3ce929d0e0e4736-00f067aa0ba902b7-01",
  "timestamp": "2026-10-26T00:00:00Z"
}</t>
        </is>
      </c>
      <c r="G30" t="inlineStr">
        <is>
          <t>400 ERR_CANNOT_REPORT_SELF: You cannot submit a report against yourself.
400 ERR_VALIDATION_FAILED: Description content must be at least 10 characters long.
401 ERR_UNAUTHORIZED: Authentication required, user is not logged in.
404 ERR_USER_NOT_FOUND: Reported user does not exist.</t>
        </is>
      </c>
      <c r="I30" s="48" t="s">
        <v>1761</v>
      </c>
      <c r="J30" s="49" t="s">
        <v>1766</v>
      </c>
      <c r="K30" s="50"/>
      <c r="L30" s="50"/>
      <c r="M30" s="50"/>
      <c r="N30" s="51"/>
      <c r="O30" s="51"/>
      <c r="P30" s="7"/>
      <c r="Q30" s="7"/>
      <c r="R30" s="7"/>
      <c r="S30" s="7"/>
      <c r="T30" s="7"/>
      <c r="U30" s="7"/>
      <c r="V30" s="7"/>
      <c r="W30" s="7"/>
      <c r="X30" s="7"/>
      <c r="Y30" s="7"/>
      <c r="Z30" s="7"/>
      <c r="AA30" s="7"/>
    </row>
    <row r="31">
      <c r="A31" s="24">
        <v>29.0</v>
      </c>
      <c r="B31" s="24" t="s">
        <v>810</v>
      </c>
      <c r="C31" s="29" t="s">
        <v>1767</v>
      </c>
      <c r="D31" s="29" t="s">
        <v>1768</v>
      </c>
      <c r="E31" s="32" t="s">
        <v>1769</v>
      </c>
      <c r="F31" t="inlineStr">
        <is>
          <t>200 OK:
{
  "success": true,
  "statusCode": 200,
  "message": "Lấy danh sách tố cáo đã gửi thành công",
  "data": {
    "items": [
      {
        "reportId": "uuid",
        "targetType": "string",
        "targetId": "uuid",
        "reason": "string",
        "evidenceUrls": "string[]",
        "status": "string",
        "adminNote": "string",
        "createdAt": "timestamp",
        "resolvedAt": "timestamp"
      }
    ],
    "pagination": {
      "pageIndex": 1,
      "pageSize": 20,
      "totalCount": 100,
      "totalPages": 5,
      "hasPreviousPage": false,
      "hasNextPage": true
    }
  },
  "traceId": "00-4bf92f3577b34da6a3ce929d0e0e4736-00f067aa0ba902b7-01",
  "timestamp": "2026-10-26T00:00:00Z"
}</t>
        </is>
      </c>
      <c r="G31" t="inlineStr">
        <is>
          <t>401 ERR_UNAUTHORIZED: Authentication required, token is missing or expired.</t>
        </is>
      </c>
      <c r="I31" s="36" t="s">
        <v>1771</v>
      </c>
      <c r="J31" s="39"/>
      <c r="K31" s="39"/>
      <c r="L31" s="39"/>
      <c r="M31" s="39"/>
      <c r="N31" s="40"/>
      <c r="O31" s="40"/>
      <c r="P31" s="7"/>
      <c r="Q31" s="7"/>
      <c r="R31" s="7"/>
      <c r="S31" s="7"/>
      <c r="T31" s="7"/>
      <c r="U31" s="7"/>
      <c r="V31" s="7"/>
      <c r="W31" s="7"/>
      <c r="X31" s="7"/>
      <c r="Y31" s="7"/>
      <c r="Z31" s="7"/>
      <c r="AA31" s="7"/>
    </row>
    <row r="32">
      <c r="A32" s="42">
        <v>30.0</v>
      </c>
      <c r="B32" s="42" t="s">
        <v>53</v>
      </c>
      <c r="C32" s="45" t="s">
        <v>1772</v>
      </c>
      <c r="D32" s="45" t="s">
        <v>1773</v>
      </c>
      <c r="E32" s="46" t="s">
        <v>1774</v>
      </c>
      <c r="F32" t="inlineStr">
        <is>
          <t>201 Created:
{
  "success": true,
  "statusCode": 201,
  "message": "Hồ sơ mở Shop đã được tiếp nhận và chuyển sang trạng thái chờ duyệt",
  "data": {
    "registrationId": "uuid",
    "status": "PENDING_APPROVAL",
    "submittedAt": "timestamp"
  },
  "traceId": "00-4bf92f3577b34da6a3ce929d0e0e4736-00f067aa0ba902b7-01",
  "timestamp": "2026-10-26T00:00:00Z"
}</t>
        </is>
      </c>
      <c r="G32" t="inlineStr">
        <is>
          <t>400 ERR_GHN_WAREHOUSE_INVALID: Ghn warehouse address is invalid.
400 ERR_REPUTATION_TOO_LOW: Reputation score is insufficient to open a shop (minimum 50 required).
401 ERR_UNAUTHORIZED: Authentication required, user is not logged in.
409 ERR_SHOP_NAME_TAKEN: Shop name already exists.
409 ERR_REQUEST_ALREADY_PENDING: A registration request is already pending review.
409 ERR_ALREADY_SELLER: User is already registered as a seller.</t>
        </is>
      </c>
      <c r="I32" s="48" t="s">
        <v>1776</v>
      </c>
      <c r="J32" s="49" t="s">
        <v>1777</v>
      </c>
      <c r="K32" s="81" t="s">
        <v>1778</v>
      </c>
      <c r="L32" s="49" t="s">
        <v>1779</v>
      </c>
      <c r="M32" s="50"/>
      <c r="N32" s="51"/>
      <c r="O32" s="51"/>
      <c r="P32" s="7"/>
      <c r="Q32" s="7"/>
      <c r="R32" s="7"/>
      <c r="S32" s="7"/>
      <c r="T32" s="7"/>
      <c r="U32" s="7"/>
      <c r="V32" s="7"/>
      <c r="W32" s="7"/>
      <c r="X32" s="7"/>
      <c r="Y32" s="7"/>
      <c r="Z32" s="7"/>
      <c r="AA32" s="7"/>
    </row>
    <row r="33">
      <c r="A33" s="24">
        <v>31.0</v>
      </c>
      <c r="B33" s="26" t="s">
        <v>53</v>
      </c>
      <c r="C33" s="29" t="s">
        <v>1780</v>
      </c>
      <c r="D33" s="29" t="s">
        <v>1781</v>
      </c>
      <c r="E33" s="32" t="s">
        <v>1782</v>
      </c>
      <c r="F33" t="inlineStr">
        <is>
          <t>201 Created:
{
  "success": true,
  "statusCode": 201,
  "message": "Mã OTP xác thực mở Shop đã được gửi lại tới email",
  "data": {
    "registrationId": "uuid",
    "cooldown": 60
  },
  "traceId": "00-4bf92f3577b34da6a3ce929d0e0e4736-00f067aa0ba902b7-01",
  "timestamp": "2026-10-26T00:00:00Z"
}</t>
        </is>
      </c>
      <c r="G33" t="inlineStr">
        <is>
          <t>401 ERR_UNAUTHORIZED: Authentication required, user is not logged in.
404 ERR_REGISTRATION_NOT_FOUND: Registration request was not found.
429 ERR_OTP_COOLDOWN: Please wait at least 60 seconds before requesting another OTP.</t>
        </is>
      </c>
      <c r="I33" s="36" t="s">
        <v>1785</v>
      </c>
      <c r="J33" s="38" t="s">
        <v>1786</v>
      </c>
      <c r="K33" s="38"/>
      <c r="L33" s="38"/>
      <c r="M33" s="39"/>
      <c r="N33" s="40"/>
      <c r="O33" s="40"/>
      <c r="P33" s="7"/>
      <c r="Q33" s="7"/>
      <c r="R33" s="7"/>
      <c r="S33" s="7"/>
      <c r="T33" s="7"/>
      <c r="U33" s="7"/>
      <c r="V33" s="7"/>
      <c r="W33" s="7"/>
      <c r="X33" s="7"/>
      <c r="Y33" s="7"/>
      <c r="Z33" s="7"/>
      <c r="AA33" s="7"/>
    </row>
    <row r="34">
      <c r="A34" s="42">
        <v>32.0</v>
      </c>
      <c r="B34" s="43" t="s">
        <v>53</v>
      </c>
      <c r="C34" s="45" t="s">
        <v>1789</v>
      </c>
      <c r="D34" s="45" t="s">
        <v>1790</v>
      </c>
      <c r="E34" s="46" t="s">
        <v>1792</v>
      </c>
      <c r="F34" t="inlineStr">
        <is>
          <t>200 OK:
{
  "success": true,
  "statusCode": 200,
  "message": "Tải lên tài liệu định danh thành công",
  "data": {
    "documentUrls": "string[]"
  },
  "traceId": "00-4bf92f3577b34da6a3ce929d0e0e4736-00f067aa0ba902b7-01",
  "timestamp": "2026-10-26T00:00:00Z"
}</t>
        </is>
      </c>
      <c r="G34" t="inlineStr">
        <is>
          <t>400 ERR_INVALID_FILE_TYPE: Invalid document format, only JPG, PNG, and PDF are accepted.
401 ERR_UNAUTHORIZED: Authentication required, user is not logged in.
404 ERR_REGISTRATION_NOT_FOUND: Registration request was not found.</t>
        </is>
      </c>
      <c r="I34" s="48" t="s">
        <v>1807</v>
      </c>
      <c r="J34" s="49"/>
      <c r="K34" s="49"/>
      <c r="L34" s="50"/>
      <c r="M34" s="50"/>
      <c r="N34" s="51"/>
      <c r="O34" s="51"/>
      <c r="P34" s="7"/>
      <c r="Q34" s="7"/>
      <c r="R34" s="7"/>
      <c r="S34" s="7"/>
      <c r="T34" s="7"/>
      <c r="U34" s="7"/>
      <c r="V34" s="7"/>
      <c r="W34" s="7"/>
      <c r="X34" s="7"/>
      <c r="Y34" s="7"/>
      <c r="Z34" s="7"/>
      <c r="AA34" s="7"/>
    </row>
    <row r="35">
      <c r="A35" s="24">
        <v>33.0</v>
      </c>
      <c r="B35" s="26" t="s">
        <v>53</v>
      </c>
      <c r="C35" s="29" t="s">
        <v>1816</v>
      </c>
      <c r="D35" s="29" t="s">
        <v>1818</v>
      </c>
      <c r="E35" s="32" t="s">
        <v>1821</v>
      </c>
      <c r="F35" t="inlineStr">
        <is>
          <t>201 Created:
{
  "success": true,
  "statusCode": 201,
  "message": "Xác thực OTP thành công. Hồ sơ đã chuyển sang chờ Staff duyệt",
  "data": {
    "registrationId": "uuid",
    "status": "PENDING_APPROVAL"
  },
  "traceId": "00-4bf92f3577b34da6a3ce929d0e0e4736-00f067aa0ba902b7-01",
  "timestamp": "2026-10-26T00:00:00Z"
}</t>
        </is>
      </c>
      <c r="G35" t="inlineStr">
        <is>
          <t>400 ERR_OTP_INVALID: The OTP code provided is invalid.
400 ERR_OTP_EXPIRED: The OTP code has expired.
401 ERR_UNAUTHORIZED: Authentication required, user is not logged in.
404 ERR_REGISTRATION_NOT_FOUND: Registration request was not found.</t>
        </is>
      </c>
      <c r="I35" s="36" t="s">
        <v>1833</v>
      </c>
      <c r="J35" s="38"/>
      <c r="K35" s="39"/>
      <c r="L35" s="39"/>
      <c r="M35" s="39"/>
      <c r="N35" s="40"/>
      <c r="O35" s="40"/>
      <c r="P35" s="7"/>
      <c r="Q35" s="7"/>
      <c r="R35" s="7"/>
      <c r="S35" s="7"/>
      <c r="T35" s="7"/>
      <c r="U35" s="7"/>
      <c r="V35" s="7"/>
      <c r="W35" s="7"/>
      <c r="X35" s="7"/>
      <c r="Y35" s="7"/>
      <c r="Z35" s="7"/>
      <c r="AA35" s="7"/>
    </row>
    <row r="36">
      <c r="A36" s="42">
        <v>34.0</v>
      </c>
      <c r="B36" s="43" t="s">
        <v>810</v>
      </c>
      <c r="C36" s="45" t="s">
        <v>1772</v>
      </c>
      <c r="D36" s="45" t="s">
        <v>1843</v>
      </c>
      <c r="E36" s="46" t="s">
        <v>778</v>
      </c>
      <c r="F36" t="inlineStr">
        <is>
          <t>200 OK:
{
  "success": true,
  "statusCode": 200,
  "message": "Lấy trạng thái hồ sơ thành công",
  "data": {
    "registrationId": "uuid",
    "status": "PENDING_APPROVAL | APPROVED | REJECTED",
    "rejectionReason": "string | null",
    "submittedAt": "timestamp"
  },
  "traceId": "00-4bf92f3577b34da6a3ce929d0e0e4736-00f067aa0ba902b7-01",
  "timestamp": "2026-10-26T00:00:00Z"
}</t>
        </is>
      </c>
      <c r="G36" t="inlineStr">
        <is>
          <t>401 ERR_UNAUTHORIZED: Authentication required, token is missing or expired.</t>
        </is>
      </c>
      <c r="I36" s="83" t="s">
        <v>1860</v>
      </c>
      <c r="J36" s="50"/>
      <c r="K36" s="50"/>
      <c r="L36" s="50"/>
      <c r="M36" s="50"/>
      <c r="N36" s="51"/>
      <c r="O36" s="51"/>
      <c r="P36" s="7"/>
      <c r="Q36" s="7"/>
      <c r="R36" s="7"/>
      <c r="S36" s="7"/>
      <c r="T36" s="7"/>
      <c r="U36" s="7"/>
      <c r="V36" s="7"/>
      <c r="W36" s="7"/>
      <c r="X36" s="7"/>
      <c r="Y36" s="7"/>
      <c r="Z36" s="7"/>
      <c r="AA36" s="7"/>
    </row>
    <row r="37">
      <c r="A37" s="24">
        <v>35.0</v>
      </c>
      <c r="B37" s="26" t="s">
        <v>810</v>
      </c>
      <c r="C37" s="29" t="s">
        <v>1871</v>
      </c>
      <c r="D37" s="29" t="s">
        <v>1873</v>
      </c>
      <c r="E37" s="32" t="s">
        <v>778</v>
      </c>
      <c r="F37" t="inlineStr">
        <is>
          <t>200 OK:
{
  "success": true,
  "statusCode": 200,
  "message": "Lấy thông tin Shop thành công",
  "data": {
    "shopId": "uuid",
    "shopName": "string",
    "hotline": "string",
    "pickupAddress": "string",
    "ghnShopId": "string",
    "ratingAvg": "decimal",
    "totalProducts": "int"
  },
  "traceId": "00-4bf92f3577b34da6a3ce929d0e0e4736-00f067aa0ba902b7-01",
  "timestamp": "2026-10-26T00:00:00Z"
}</t>
        </is>
      </c>
      <c r="G37" t="inlineStr">
        <is>
          <t>401 ERR_UNAUTHORIZED: Authentication required, user is not logged in.
403 ERR_FORBIDDEN_NOT_SELLER: Account does not have the seller role.</t>
        </is>
      </c>
      <c r="I37" s="36" t="s">
        <v>1890</v>
      </c>
      <c r="J37" s="39"/>
      <c r="K37" s="39"/>
      <c r="L37" s="39"/>
      <c r="M37" s="39"/>
      <c r="N37" s="40"/>
      <c r="O37" s="40"/>
      <c r="P37" s="7"/>
      <c r="Q37" s="7"/>
      <c r="R37" s="7"/>
      <c r="S37" s="7"/>
      <c r="T37" s="7"/>
      <c r="U37" s="7"/>
      <c r="V37" s="7"/>
      <c r="W37" s="7"/>
      <c r="X37" s="7"/>
      <c r="Y37" s="7"/>
      <c r="Z37" s="7"/>
      <c r="AA37" s="7"/>
    </row>
    <row r="38">
      <c r="A38" s="42">
        <v>36.0</v>
      </c>
      <c r="B38" s="43" t="s">
        <v>644</v>
      </c>
      <c r="C38" s="45" t="s">
        <v>1871</v>
      </c>
      <c r="D38" s="45" t="s">
        <v>1898</v>
      </c>
      <c r="E38" s="46" t="s">
        <v>1901</v>
      </c>
      <c r="F38" t="inlineStr">
        <is>
          <t>200 OK:
{
  "success": true,
  "statusCode": 200,
  "message": "Cập nhật thông tin Shop thành công",
  "data": {
    "shopId": "uuid",
    "shopName": "string",
    "updatedAt": "timestamp"
  },
  "traceId": "00-4bf92f3577b34da6a3ce929d0e0e4736-00f067aa0ba902b7-01",
  "timestamp": "2026-10-26T00:00:00Z"
}</t>
        </is>
      </c>
      <c r="G38" t="inlineStr">
        <is>
          <t>401 ERR_UNAUTHORIZED: Authentication required, user is not logged in.
403 ERR_FORBIDDEN: You do not have permission to modify this shop.
409 ERR_SHOP_NAME_TAKEN: Shop name is already taken.</t>
        </is>
      </c>
      <c r="I38" s="48" t="s">
        <v>1920</v>
      </c>
      <c r="J38" s="84" t="s">
        <v>1924</v>
      </c>
      <c r="K38" s="84" t="s">
        <v>1929</v>
      </c>
      <c r="L38" s="84" t="s">
        <v>1931</v>
      </c>
      <c r="M38" s="84" t="s">
        <v>1935</v>
      </c>
      <c r="N38" s="51"/>
      <c r="O38" s="51"/>
      <c r="P38" s="7"/>
      <c r="Q38" s="7"/>
      <c r="R38" s="7"/>
      <c r="S38" s="7"/>
      <c r="T38" s="7"/>
      <c r="U38" s="7"/>
      <c r="V38" s="7"/>
      <c r="W38" s="7"/>
      <c r="X38" s="7"/>
      <c r="Y38" s="7"/>
      <c r="Z38" s="7"/>
      <c r="AA38" s="7"/>
    </row>
    <row r="39">
      <c r="A39" s="24">
        <v>37.0</v>
      </c>
      <c r="B39" s="26" t="s">
        <v>810</v>
      </c>
      <c r="C39" s="29" t="s">
        <v>1944</v>
      </c>
      <c r="D39" s="29" t="s">
        <v>1946</v>
      </c>
      <c r="E39" s="32" t="s">
        <v>1950</v>
      </c>
      <c r="F39" t="inlineStr">
        <is>
          <t>200 OK:
{
  "success": true,
  "statusCode": 200,
  "message": "Lấy danh sách hồ sơ mở Shop thành công",
  "data": {
    "items": [
      {
        "registrationId": "uuid",
        "userId": "uuid",
        "shopName": "string",
        "identityCardNumber": "string",
        "warehouseAddress": "string",
        "reputationScore": "int"
      }
    ],
    "pagination": {
      "pageIndex": 1,
      "pageSize": 20,
      "totalCount": 100,
      "totalPages": 5,
      "hasPreviousPage": false,
      "hasNextPage": true
    }
  },
  "traceId": "00-4bf92f3577b34da6a3ce929d0e0e4736-00f067aa0ba902b7-01",
  "timestamp": "2026-10-26T00:00:00Z"
}</t>
        </is>
      </c>
      <c r="G39" t="inlineStr">
        <is>
          <t>401 ERR_UNAUTHORIZED: Authentication required, user is not logged in.
403 ERR_PERMISSION_DENIED: You do not have permission to view shop registration list.</t>
        </is>
      </c>
      <c r="I39" s="36" t="s">
        <v>1968</v>
      </c>
      <c r="J39" s="39"/>
      <c r="K39" s="39"/>
      <c r="L39" s="39"/>
      <c r="M39" s="39"/>
      <c r="N39" s="40"/>
      <c r="O39" s="40"/>
      <c r="P39" s="7"/>
      <c r="Q39" s="7"/>
      <c r="R39" s="7"/>
      <c r="S39" s="7"/>
      <c r="T39" s="7"/>
      <c r="U39" s="7"/>
      <c r="V39" s="7"/>
      <c r="W39" s="7"/>
      <c r="X39" s="7"/>
      <c r="Y39" s="7"/>
      <c r="Z39" s="7"/>
      <c r="AA39" s="7"/>
    </row>
    <row r="40">
      <c r="A40" s="42" t="s">
        <v>1978</v>
      </c>
      <c r="B40" s="43" t="s">
        <v>810</v>
      </c>
      <c r="C40" s="45" t="s">
        <v>1981</v>
      </c>
      <c r="D40" s="45" t="s">
        <v>1992</v>
      </c>
      <c r="E40" s="46" t="s">
        <v>1996</v>
      </c>
      <c r="F40" t="inlineStr">
        <is>
          <t>200 OK:
{
  "success": true,
  "statusCode": 200,
  "message": "Lấy chi tiết hồ sơ mở Shop thành công",
  "data": {
    "registrationId": "uuid",
    "userId": "uuid",
    "shopName": "string",
    "hotline": "string",
    "pickupAddress": "string",
    "identityCardNumber": "string",
    "idCardFrontUrl": "string",
    "idCardBackUrl": "string",
    "businessLicenseUrl": "string",
    "reputationScore": "int",
    "status": "string",
    "submittedAt": "timestamp"
  },
  "traceId": "00-4bf92f3577b34da6a3ce929d0e0e4736-00f067aa0ba902b7-01",
  "timestamp": "2026-10-26T00:00:00Z"
}</t>
        </is>
      </c>
      <c r="G40" t="inlineStr">
        <is>
          <t>401 ERR_UNAUTHORIZED: Authentication required, user is not logged in.
403 ERR_PERMISSION_DENIED: You do not have permission to view registration requests.
404 ERR_REGISTRATION_NOT_FOUND: Registration request was not found.</t>
        </is>
      </c>
      <c r="I40" s="48" t="s">
        <v>2001</v>
      </c>
      <c r="J40" s="50"/>
      <c r="K40" s="50"/>
      <c r="L40" s="50"/>
      <c r="M40" s="50"/>
      <c r="N40" s="51"/>
      <c r="O40" s="51"/>
      <c r="P40" s="7"/>
      <c r="Q40" s="7"/>
      <c r="R40" s="7"/>
      <c r="S40" s="7"/>
      <c r="T40" s="7"/>
      <c r="U40" s="7"/>
      <c r="V40" s="7"/>
      <c r="W40" s="7"/>
      <c r="X40" s="7"/>
      <c r="Y40" s="7"/>
      <c r="Z40" s="7"/>
      <c r="AA40" s="7"/>
    </row>
    <row r="41">
      <c r="A41" s="24">
        <v>38.0</v>
      </c>
      <c r="B41" s="26" t="s">
        <v>590</v>
      </c>
      <c r="C41" s="29" t="s">
        <v>2009</v>
      </c>
      <c r="D41" s="29" t="s">
        <v>2011</v>
      </c>
      <c r="E41" s="32" t="s">
        <v>2013</v>
      </c>
      <c r="F41" t="inlineStr">
        <is>
          <t>200 OK:
{
  "success": true,
  "statusCode": 200,
  "message": "Hồ sơ mở Shop đã được phê duyệt. Người dùng đã trở thành Seller",
  "data": {
    "registrationId": "uuid",
    "userId": "uuid",
    "status": "APPROVED",
    "approvedAt": "timestamp"
  },
  "traceId": "00-4bf92f3577b34da6a3ce929d0e0e4736-00f067aa0ba902b7-01",
  "timestamp": "2026-10-26T00:00:00Z"
}</t>
        </is>
      </c>
      <c r="G41" t="inlineStr">
        <is>
          <t>400 ERR_REQUEST_NOT_PENDING: Registration request is not in a pending state.
400 ERR_REPUTATION_TOO_LOW: Applicant reputation score has fallen below the threshold of 50.
401 ERR_UNAUTHORIZED: Authentication required, user is not logged in.
403 ERR_PERMISSION_DENIED: You do not have permission to approve shop registrations.
404 ERR_REQUEST_NOT_FOUND: Registration request was not found.</t>
        </is>
      </c>
      <c r="I41" s="36" t="s">
        <v>2031</v>
      </c>
      <c r="J41" s="38" t="s">
        <v>2032</v>
      </c>
      <c r="K41" s="89" t="s">
        <v>2033</v>
      </c>
      <c r="L41" s="38" t="s">
        <v>2034</v>
      </c>
      <c r="M41" s="36" t="s">
        <v>2035</v>
      </c>
      <c r="N41" s="40"/>
      <c r="O41" s="40"/>
      <c r="P41" s="7"/>
      <c r="Q41" s="7"/>
      <c r="R41" s="7"/>
      <c r="S41" s="7"/>
      <c r="T41" s="7"/>
      <c r="U41" s="7"/>
      <c r="V41" s="7"/>
      <c r="W41" s="7"/>
      <c r="X41" s="7"/>
      <c r="Y41" s="7"/>
      <c r="Z41" s="7"/>
      <c r="AA41" s="7"/>
    </row>
    <row r="42">
      <c r="A42" s="42">
        <v>39.0</v>
      </c>
      <c r="B42" s="43" t="s">
        <v>590</v>
      </c>
      <c r="C42" s="45" t="s">
        <v>2036</v>
      </c>
      <c r="D42" s="45" t="s">
        <v>2037</v>
      </c>
      <c r="E42" s="46" t="s">
        <v>2038</v>
      </c>
      <c r="F42" t="inlineStr">
        <is>
          <t>200 OK:
{
  "success": true,
  "statusCode": 200,
  "message": "Đã từ chối hồ sơ mở Shop",
  "data": {
    "registrationId": "uuid",
    "status": "REJECTED",
    "rejectedAt": "timestamp",
    "rejectionReason": "string"
  },
  "traceId": "00-4bf92f3577b34da6a3ce929d0e0e4736-00f067aa0ba902b7-01",
  "timestamp": "2026-10-26T00:00:00Z"
}</t>
        </is>
      </c>
      <c r="G42" t="inlineStr">
        <is>
          <t>400 ERR_REASON_REQUIRED: Rejection reason must be at least 10 characters long.
401 ERR_UNAUTHORIZED: Authentication required, user is not logged in.
403 ERR_PERMISSION_DENIED: You do not have permission to reject registration requests.
404 ERR_REQUEST_NOT_FOUND: Registration request was not found.</t>
        </is>
      </c>
      <c r="I42" s="48" t="s">
        <v>2041</v>
      </c>
      <c r="J42" s="49" t="s">
        <v>2042</v>
      </c>
      <c r="K42" s="90"/>
      <c r="L42" s="50"/>
      <c r="M42" s="50"/>
      <c r="N42" s="51"/>
      <c r="O42" s="51"/>
      <c r="P42" s="7"/>
      <c r="Q42" s="7"/>
      <c r="R42" s="7"/>
      <c r="S42" s="7"/>
      <c r="T42" s="7"/>
      <c r="U42" s="7"/>
      <c r="V42" s="7"/>
      <c r="W42" s="7"/>
      <c r="X42" s="7"/>
      <c r="Y42" s="7"/>
      <c r="Z42" s="7"/>
      <c r="AA42" s="7"/>
    </row>
    <row r="43">
      <c r="A43" s="24">
        <v>40.0</v>
      </c>
      <c r="B43" s="26" t="s">
        <v>810</v>
      </c>
      <c r="C43" s="29" t="s">
        <v>2043</v>
      </c>
      <c r="D43" s="29" t="s">
        <v>2044</v>
      </c>
      <c r="E43" s="32" t="s">
        <v>2045</v>
      </c>
      <c r="F43" t="inlineStr">
        <is>
          <t>200 OK:
{
  "success": true,
  "statusCode": 200,
  "message": "Lấy danh sách đơn tố cáo thành công",
  "data": {
    "items": [
      {
        "id": "uuid",
        "reporterId": "uuid",
        "reportedUserId": "uuid",
        "violationType": "string",
        "description": "string",
        "evidenceUrls": "string[]",
        "status": "string",
        "createdAt": "timestamp"
      }
    ],
    "pagination": {
      "pageIndex": 1,
      "pageSize": 20,
      "totalCount": 100,
      "totalPages": 5,
      "hasPreviousPage": false,
      "hasNextPage": true
    }
  },
  "traceId": "00-4bf92f3577b34da6a3ce929d0e0e4736-00f067aa0ba902b7-01",
  "timestamp": "2026-10-26T00:00:00Z"
}</t>
        </is>
      </c>
      <c r="G43" t="inlineStr">
        <is>
          <t>401 ERR_UNAUTHORIZED: Authentication required, user is not logged in.
403 ERR_PERMISSION_DENIED: You do not have permission to moderate reports.</t>
        </is>
      </c>
      <c r="I43" s="36" t="s">
        <v>2047</v>
      </c>
      <c r="J43" s="91"/>
      <c r="K43" s="38"/>
      <c r="L43" s="39"/>
      <c r="M43" s="39"/>
      <c r="N43" s="40"/>
      <c r="O43" s="40"/>
      <c r="P43" s="7"/>
      <c r="Q43" s="7"/>
      <c r="R43" s="7"/>
      <c r="S43" s="7"/>
      <c r="T43" s="7"/>
      <c r="U43" s="7"/>
      <c r="V43" s="7"/>
      <c r="W43" s="7"/>
      <c r="X43" s="7"/>
      <c r="Y43" s="7"/>
      <c r="Z43" s="7"/>
      <c r="AA43" s="7"/>
    </row>
    <row r="44">
      <c r="A44" s="42">
        <v>41.0</v>
      </c>
      <c r="B44" s="43" t="s">
        <v>590</v>
      </c>
      <c r="C44" s="45" t="s">
        <v>2048</v>
      </c>
      <c r="D44" s="45" t="s">
        <v>2049</v>
      </c>
      <c r="E44" s="46" t="s">
        <v>2050</v>
      </c>
      <c r="F44" t="inlineStr">
        <is>
          <t>200 OK:
{
  "success": true,
  "statusCode": 200,
  "message": "Đã xử lý tố cáo thành công. Chế tài kỷ luật đã được áp dụng",
  "data": {
    "reportId": "uuid",
    "status": "RESOLVED",
    "resolvedAt": "timestamp"
  },
  "traceId": "00-4bf92f3577b34da6a3ce929d0e0e4736-00f067aa0ba902b7-01",
  "timestamp": "2026-10-26T00:00:00Z"
}</t>
        </is>
      </c>
      <c r="G44" t="inlineStr">
        <is>
          <t>400 ERR_ALREADY_RESOLVED: Report has already been resolved or processed.
401 ERR_UNAUTHORIZED: Authentication required, user is not logged in.
403 ERR_PERMISSION_DENIED: You do not have permission to process reports.
404 ERR_REPORT_NOT_FOUND: Report was not found.</t>
        </is>
      </c>
      <c r="I44" s="48" t="s">
        <v>2052</v>
      </c>
      <c r="J44" s="49" t="s">
        <v>2053</v>
      </c>
      <c r="K44" s="49" t="s">
        <v>2054</v>
      </c>
      <c r="L44" s="49" t="s">
        <v>2055</v>
      </c>
      <c r="M44" s="50"/>
      <c r="N44" s="51"/>
      <c r="O44" s="51"/>
      <c r="P44" s="7"/>
      <c r="Q44" s="7"/>
      <c r="R44" s="7"/>
      <c r="S44" s="7"/>
      <c r="T44" s="7"/>
      <c r="U44" s="7"/>
      <c r="V44" s="7"/>
      <c r="W44" s="7"/>
      <c r="X44" s="7"/>
      <c r="Y44" s="7"/>
      <c r="Z44" s="7"/>
      <c r="AA44" s="7"/>
    </row>
    <row r="45">
      <c r="A45" s="24" t="s">
        <v>2056</v>
      </c>
      <c r="B45" s="26" t="s">
        <v>590</v>
      </c>
      <c r="C45" s="29" t="s">
        <v>2057</v>
      </c>
      <c r="D45" s="29" t="s">
        <v>2058</v>
      </c>
      <c r="E45" s="32" t="s">
        <v>2059</v>
      </c>
      <c r="F45" t="inlineStr">
        <is>
          <t>200 OK:
{
  "success": true,
  "statusCode": 200,
  "message": "Đã bác bỏ đơn tố cáo",
  "data": {
    "reportId": "uuid",
    "status": "DISMISSED",
    "dismissedAt": "timestamp"
  },
  "traceId": "00-4bf92f3577b34da6a3ce929d0e0e4736-00f067aa0ba902b7-01",
  "timestamp": "2026-10-26T00:00:00Z"
}</t>
        </is>
      </c>
      <c r="G45" t="inlineStr">
        <is>
          <t>400 ERR_REASON_REQUIRED: A reason is required to dismiss the report.
401 ERR_UNAUTHORIZED: Authentication required, user is not logged in.
403 ERR_PERMISSION_DENIED: You do not have permission to dismiss reports.
404 ERR_REPORT_NOT_FOUND: Report was not found.</t>
        </is>
      </c>
      <c r="I45" s="36" t="s">
        <v>2061</v>
      </c>
      <c r="J45" s="38" t="s">
        <v>2062</v>
      </c>
      <c r="K45" s="38"/>
      <c r="L45" s="39"/>
      <c r="M45" s="39"/>
      <c r="N45" s="40"/>
      <c r="O45" s="40"/>
      <c r="P45" s="7"/>
      <c r="Q45" s="7"/>
      <c r="R45" s="7"/>
      <c r="S45" s="7"/>
      <c r="T45" s="7"/>
      <c r="U45" s="7"/>
      <c r="V45" s="7"/>
      <c r="W45" s="7"/>
      <c r="X45" s="7"/>
      <c r="Y45" s="7"/>
      <c r="Z45" s="7"/>
      <c r="AA45" s="7"/>
    </row>
    <row r="46">
      <c r="A46" s="42">
        <v>42.0</v>
      </c>
      <c r="B46" s="43" t="s">
        <v>590</v>
      </c>
      <c r="C46" s="45" t="s">
        <v>2063</v>
      </c>
      <c r="D46" s="45" t="s">
        <v>2064</v>
      </c>
      <c r="E46" s="46" t="s">
        <v>2065</v>
      </c>
      <c r="F46" t="inlineStr">
        <is>
          <t>200 OK:
{
  "success": true,
  "statusCode": 200,
  "message": "Đã ẩn đánh giá vi phạm thành công",
  "data": {
    "reviewId": "uuid",
    "isHidden": true
  },
  "traceId": "00-4bf92f3577b34da6a3ce929d0e0e4736-00f067aa0ba902b7-01",
  "timestamp": "2026-10-26T00:00:00Z"
}</t>
        </is>
      </c>
      <c r="G46" t="inlineStr">
        <is>
          <t>400 ERR_REASON_REQUIRED: A reason is required to hide the review.
401 ERR_UNAUTHORIZED: Authentication required, user is not logged in.
403 ERR_PERMISSION_DENIED: You do not have permission to moderate reviews.
404 ERR_REVIEW_NOT_FOUND: Review was not found.</t>
        </is>
      </c>
      <c r="I46" s="48" t="s">
        <v>2068</v>
      </c>
      <c r="J46" s="49" t="s">
        <v>2069</v>
      </c>
      <c r="K46" s="49" t="s">
        <v>2070</v>
      </c>
      <c r="L46" s="50"/>
      <c r="M46" s="50"/>
      <c r="N46" s="51"/>
      <c r="O46" s="51"/>
      <c r="P46" s="7"/>
      <c r="Q46" s="7"/>
      <c r="R46" s="7"/>
      <c r="S46" s="7"/>
      <c r="T46" s="7"/>
      <c r="U46" s="7"/>
      <c r="V46" s="7"/>
      <c r="W46" s="7"/>
      <c r="X46" s="7"/>
      <c r="Y46" s="7"/>
      <c r="Z46" s="7"/>
      <c r="AA46" s="7"/>
    </row>
    <row r="47">
      <c r="A47" s="24">
        <v>43.0</v>
      </c>
      <c r="B47" s="26" t="s">
        <v>810</v>
      </c>
      <c r="C47" s="29" t="s">
        <v>2071</v>
      </c>
      <c r="D47" s="29" t="s">
        <v>2072</v>
      </c>
      <c r="E47" s="32" t="s">
        <v>2073</v>
      </c>
      <c r="F47" t="inlineStr">
        <is>
          <t>200 OK:
{
  "success": true,
  "statusCode": 200,
  "message": "Lấy danh sách người dùng thành công",
  "data": {
    "items": [
      {
        "id": "uuid",
        "email": "string",
        "firstName": "string",
        "lastName": "string",
        "phoneNumber": "string",
        "status": "string",
        "reputationScore": "int",
        "roles": "string[]"
      }
    ],
    "pagination": {
      "pageIndex": 1,
      "pageSize": 20,
      "totalCount": 100,
      "totalPages": 5,
      "hasPreviousPage": false,
      "hasNextPage": true
    }
  },
  "traceId": "00-4bf92f3577b34da6a3ce929d0e0e4736-00f067aa0ba902b7-01",
  "timestamp": "2026-10-26T00:00:00Z"
}</t>
        </is>
      </c>
      <c r="G47" t="inlineStr">
        <is>
          <t>401 ERR_UNAUTHORIZED: Authentication required, user is not logged in.
403 ERR_PERMISSION_DENIED: You do not have permission to view user list.</t>
        </is>
      </c>
      <c r="I47" s="36" t="s">
        <v>2077</v>
      </c>
      <c r="J47" s="39"/>
      <c r="K47" s="39"/>
      <c r="L47" s="39"/>
      <c r="M47" s="39"/>
      <c r="N47" s="40"/>
      <c r="O47" s="40"/>
      <c r="P47" s="7"/>
      <c r="Q47" s="7"/>
      <c r="R47" s="7"/>
      <c r="S47" s="7"/>
      <c r="T47" s="7"/>
      <c r="U47" s="7"/>
      <c r="V47" s="7"/>
      <c r="W47" s="7"/>
      <c r="X47" s="7"/>
      <c r="Y47" s="7"/>
      <c r="Z47" s="7"/>
      <c r="AA47" s="7"/>
    </row>
    <row r="48">
      <c r="A48" s="42">
        <v>44.0</v>
      </c>
      <c r="B48" s="43" t="s">
        <v>53</v>
      </c>
      <c r="C48" s="45" t="s">
        <v>2071</v>
      </c>
      <c r="D48" s="45" t="s">
        <v>2078</v>
      </c>
      <c r="E48" s="46" t="s">
        <v>2079</v>
      </c>
      <c r="F48" t="inlineStr">
        <is>
          <t>201 Created:
{
  "success": true,
  "statusCode": 201,
  "message": "Tạo tài khoản thành công",
  "data": {
    "userId": "uuid",
    "email": "string",
    "roles": "string[]"
  },
  "traceId": "00-4bf92f3577b34da6a3ce929d0e0e4736-00f067aa0ba902b7-01",
  "timestamp": "2026-10-26T00:00:00Z"
}</t>
        </is>
      </c>
      <c r="G48" t="inlineStr">
        <is>
          <t>400 ERR_INVALID_ROLES: The specified role list is invalid.
401 ERR_UNAUTHORIZED: Authentication required, user is not logged in.
403 ERR_PERMISSION_DENIED: You do not have permission to create user accounts.
409 ERR_EMAIL_EXISTS: Email already exists in the system.</t>
        </is>
      </c>
      <c r="I48" s="48" t="s">
        <v>2086</v>
      </c>
      <c r="J48" s="49" t="s">
        <v>2087</v>
      </c>
      <c r="K48" s="49" t="s">
        <v>2089</v>
      </c>
      <c r="L48" s="50"/>
      <c r="M48" s="50"/>
      <c r="N48" s="51"/>
      <c r="O48" s="51"/>
      <c r="P48" s="7"/>
      <c r="Q48" s="7"/>
      <c r="R48" s="7"/>
      <c r="S48" s="7"/>
      <c r="T48" s="7"/>
      <c r="U48" s="7"/>
      <c r="V48" s="7"/>
      <c r="W48" s="7"/>
      <c r="X48" s="7"/>
      <c r="Y48" s="7"/>
      <c r="Z48" s="7"/>
      <c r="AA48" s="7"/>
    </row>
    <row r="49">
      <c r="A49" s="24">
        <v>45.0</v>
      </c>
      <c r="B49" s="24" t="s">
        <v>810</v>
      </c>
      <c r="C49" s="29" t="s">
        <v>2095</v>
      </c>
      <c r="D49" s="29" t="s">
        <v>2096</v>
      </c>
      <c r="E49" s="32" t="s">
        <v>2097</v>
      </c>
      <c r="F49" t="inlineStr">
        <is>
          <t>200 OK:
{
  "success": true,
  "statusCode": 200,
  "message": "Lấy chi tiết người dùng thành công",
  "data": {
    "id": "uuid",
    "email": "string",
    "firstName": "string",
    "lastName": "string",
    "phoneNumber": "string",
    "status": "string",
    "reputationScore": "int",
    "trustLevel": "string",
    "roles": "string[]",
    "permissions": "string[]",
    "sellerProfile": "object",
    "createdAt": "timestamp",
    "auditHistory": "object[]"
  },
  "traceId": "00-4bf92f3577b34da6a3ce929d0e0e4736-00f067aa0ba902b7-01",
  "timestamp": "2026-10-26T00:00:00Z"
}</t>
        </is>
      </c>
      <c r="G49" t="inlineStr">
        <is>
          <t>401 ERR_UNAUTHORIZED: Authentication required, user is not logged in.
403 ERR_PERMISSION_DENIED: You do not have permission to view user details.
404 ERR_USER_NOT_FOUND: User was not found.</t>
        </is>
      </c>
      <c r="I49" s="36" t="s">
        <v>2107</v>
      </c>
      <c r="J49" s="39"/>
      <c r="K49" s="39"/>
      <c r="L49" s="39"/>
      <c r="M49" s="39"/>
      <c r="N49" s="40"/>
      <c r="O49" s="40"/>
      <c r="P49" s="7"/>
      <c r="Q49" s="7"/>
      <c r="R49" s="7"/>
      <c r="S49" s="7"/>
      <c r="T49" s="7"/>
      <c r="U49" s="7"/>
      <c r="V49" s="7"/>
      <c r="W49" s="7"/>
      <c r="X49" s="7"/>
      <c r="Y49" s="7"/>
      <c r="Z49" s="7"/>
      <c r="AA49" s="7"/>
    </row>
    <row r="50">
      <c r="A50" s="42">
        <v>46.0</v>
      </c>
      <c r="B50" s="43" t="s">
        <v>590</v>
      </c>
      <c r="C50" s="45" t="s">
        <v>2095</v>
      </c>
      <c r="D50" s="45" t="s">
        <v>2113</v>
      </c>
      <c r="E50" s="46" t="s">
        <v>2114</v>
      </c>
      <c r="F50" t="inlineStr">
        <is>
          <t>200 OK:
{
  "success": true,
  "statusCode": 200,
  "message": "Cập nhật thông tin người dùng thành công",
  "data": {
    "id": "uuid",
    "firstName": "string",
    "lastName": "string",
    "status": "string",
    "updatedBy": "uuid",
    "updatedAt": "timestamp"
  },
  "traceId": "00-4bf92f3577b34da6a3ce929d0e0e4736-00f067aa0ba902b7-01",
  "timestamp": "2026-10-26T00:00:00Z"
}</t>
        </is>
      </c>
      <c r="G50" t="inlineStr">
        <is>
          <t>400 ERR_AUDIT_REASON_REQUIRED: Intervention reason must be at least 10 characters long.
401 ERR_UNAUTHORIZED: Authentication required, user is not logged in.
403 ERR_PERMISSION_DENIED: You do not have permission to edit user information.
404 ERR_USER_NOT_FOUND: User was not found.</t>
        </is>
      </c>
      <c r="I50" s="48" t="s">
        <v>2126</v>
      </c>
      <c r="J50" s="49"/>
      <c r="K50" s="49"/>
      <c r="L50" s="50"/>
      <c r="M50" s="50"/>
      <c r="N50" s="51"/>
      <c r="O50" s="51"/>
      <c r="P50" s="7"/>
      <c r="Q50" s="7"/>
      <c r="R50" s="7"/>
      <c r="S50" s="7"/>
      <c r="T50" s="7"/>
      <c r="U50" s="7"/>
      <c r="V50" s="7"/>
      <c r="W50" s="7"/>
      <c r="X50" s="7"/>
      <c r="Y50" s="7"/>
      <c r="Z50" s="7"/>
      <c r="AA50" s="7"/>
    </row>
    <row r="51">
      <c r="A51" s="24">
        <v>47.0</v>
      </c>
      <c r="B51" s="26" t="s">
        <v>846</v>
      </c>
      <c r="C51" s="29" t="s">
        <v>2095</v>
      </c>
      <c r="D51" s="29" t="s">
        <v>2132</v>
      </c>
      <c r="E51" s="32" t="s">
        <v>2134</v>
      </c>
      <c r="F51" t="inlineStr">
        <is>
          <t>200 OK:
{
  "success": true,
  "statusCode": 200,
  "message": "Tài khoản người dùng đã được xóa mềm thành công",
  "data": {
    "id": "uuid",
    "isDeleted": true,
    "deletedAt": "timestamp"
  },
  "traceId": "00-4bf92f3577b34da6a3ce929d0e0e4736-00f067aa0ba902b7-01",
  "timestamp": "2026-10-26T00:00:00Z"
}</t>
        </is>
      </c>
      <c r="G51" t="inlineStr">
        <is>
          <t>400 ERR_CANNOT_DELETE_ADMIN: Cannot delete an administrator account.
401 ERR_UNAUTHORIZED: Authentication required, user is not logged in.
403 ERR_PERMISSION_DENIED: You do not have permission to delete user accounts.
404 ERR_USER_NOT_FOUND: User was not found.
409 ERR_ACTIVE_AUCTIONS_EXIST: Account currently has active auctions or pending orders.</t>
        </is>
      </c>
      <c r="I51" s="36" t="s">
        <v>2144</v>
      </c>
      <c r="J51" s="38" t="s">
        <v>2145</v>
      </c>
      <c r="K51" s="102" t="s">
        <v>2146</v>
      </c>
      <c r="L51" s="36" t="s">
        <v>2149</v>
      </c>
      <c r="M51" s="39"/>
      <c r="N51" s="40"/>
      <c r="O51" s="40"/>
      <c r="P51" s="7"/>
      <c r="Q51" s="7"/>
      <c r="R51" s="7"/>
      <c r="S51" s="7"/>
      <c r="T51" s="7"/>
      <c r="U51" s="7"/>
      <c r="V51" s="7"/>
      <c r="W51" s="7"/>
      <c r="X51" s="7"/>
      <c r="Y51" s="7"/>
      <c r="Z51" s="7"/>
      <c r="AA51" s="7"/>
    </row>
    <row r="52">
      <c r="A52" s="42">
        <v>48.0</v>
      </c>
      <c r="B52" s="43" t="s">
        <v>644</v>
      </c>
      <c r="C52" s="45" t="s">
        <v>2153</v>
      </c>
      <c r="D52" s="45" t="s">
        <v>2155</v>
      </c>
      <c r="E52" s="46" t="s">
        <v>2158</v>
      </c>
      <c r="F52" t="inlineStr">
        <is>
          <t>200 OK:
{
  "success": true,
  "statusCode": 200,
  "message": "Đã khóa tài khoản người dùng thành công",
  "data": {
    "id": "uuid",
    "status": "BANNED",
    "bannedUntil": "timestamp",
    "reason": "string"
  },
  "traceId": "00-4bf92f3577b34da6a3ce929d0e0e4736-00f067aa0ba902b7-01",
  "timestamp": "2026-10-26T00:00:00Z"
}</t>
        </is>
      </c>
      <c r="G52" t="inlineStr">
        <is>
          <t>400 ERR_CANNOT_BAN_ADMIN: Cannot ban or lock an administrator account.
400 ERR_ALREADY_BANNED: Account is already banned or locked.
401 ERR_UNAUTHORIZED: Authentication required, user is not logged in.
403 ERR_PERMISSION_DENIED: You do not have permission to ban users.
404 ERR_USER_NOT_FOUND: User was not found.</t>
        </is>
      </c>
      <c r="I52" s="48" t="s">
        <v>2165</v>
      </c>
      <c r="J52" s="49" t="s">
        <v>2166</v>
      </c>
      <c r="K52" s="49" t="s">
        <v>2168</v>
      </c>
      <c r="L52" s="49" t="s">
        <v>2145</v>
      </c>
      <c r="M52" s="48" t="s">
        <v>2169</v>
      </c>
      <c r="N52" s="51"/>
      <c r="O52" s="51"/>
      <c r="P52" s="7"/>
      <c r="Q52" s="7"/>
      <c r="R52" s="7"/>
      <c r="S52" s="7"/>
      <c r="T52" s="7"/>
      <c r="U52" s="7"/>
      <c r="V52" s="7"/>
      <c r="W52" s="7"/>
      <c r="X52" s="7"/>
      <c r="Y52" s="7"/>
      <c r="Z52" s="7"/>
      <c r="AA52" s="7"/>
    </row>
    <row r="53">
      <c r="A53" s="24">
        <v>49.0</v>
      </c>
      <c r="B53" s="26" t="s">
        <v>644</v>
      </c>
      <c r="C53" s="29" t="s">
        <v>2173</v>
      </c>
      <c r="D53" s="29" t="s">
        <v>2174</v>
      </c>
      <c r="E53" s="32" t="s">
        <v>2176</v>
      </c>
      <c r="F53" t="inlineStr">
        <is>
          <t>200 OK:
{
  "success": true,
  "statusCode": 200,
  "message": "Đã mở khóa tài khoản người dùng thành công",
  "data": {
    "id": "uuid",
    "status": "ACTIVE",
    "unbannedAt": "timestamp"
  },
  "traceId": "00-4bf92f3577b34da6a3ce929d0e0e4736-00f067aa0ba902b7-01",
  "timestamp": "2026-10-26T00:00:00Z"
}</t>
        </is>
      </c>
      <c r="G53" t="inlineStr">
        <is>
          <t>400 ERR_USER_NOT_BANNED: Account is currently active and not banned.
401 ERR_UNAUTHORIZED: Authentication required, user is not logged in.
403 ERR_PERMISSION_DENIED: You do not have permission to unban users.
404 ERR_USER_NOT_FOUND: User was not found.</t>
        </is>
      </c>
      <c r="I53" s="36" t="s">
        <v>2185</v>
      </c>
      <c r="J53" s="38" t="s">
        <v>2187</v>
      </c>
      <c r="K53" s="39"/>
      <c r="L53" s="39"/>
      <c r="M53" s="39"/>
      <c r="N53" s="40"/>
      <c r="O53" s="40"/>
      <c r="P53" s="7"/>
      <c r="Q53" s="7"/>
      <c r="R53" s="7"/>
      <c r="S53" s="7"/>
      <c r="T53" s="7"/>
      <c r="U53" s="7"/>
      <c r="V53" s="7"/>
      <c r="W53" s="7"/>
      <c r="X53" s="7"/>
      <c r="Y53" s="7"/>
      <c r="Z53" s="7"/>
      <c r="AA53" s="7"/>
    </row>
    <row r="54">
      <c r="A54" s="42">
        <v>50.0</v>
      </c>
      <c r="B54" s="43" t="s">
        <v>810</v>
      </c>
      <c r="C54" s="45" t="s">
        <v>2190</v>
      </c>
      <c r="D54" s="45" t="s">
        <v>2191</v>
      </c>
      <c r="E54" s="46" t="s">
        <v>2193</v>
      </c>
      <c r="F54" t="inlineStr">
        <is>
          <t>200 OK:
{
  "success": true,
  "statusCode": 200,
  "message": "Lấy chi tiết Shop thành công",
  "data": {
    "sellerId": "uuid",
    "shopName": "string",
    "ownerUserId": "uuid",
    "identityCardNumber": "string",
    "pickupAddress": "string",
    "status": "string",
    "auditHistory": "object[]"
  },
  "traceId": "00-4bf92f3577b34da6a3ce929d0e0e4736-00f067aa0ba902b7-01",
  "timestamp": "2026-10-26T00:00:00Z"
}</t>
        </is>
      </c>
      <c r="G54" t="inlineStr">
        <is>
          <t>401 ERR_UNAUTHORIZED: Authentication required, user is not logged in.
403 ERR_FORBIDDEN: Administrator privileges are required.
404 ERR_SELLER_NOT_FOUND: Shop information was not found.</t>
        </is>
      </c>
      <c r="I54" s="48" t="s">
        <v>2201</v>
      </c>
      <c r="J54" s="50"/>
      <c r="K54" s="50"/>
      <c r="L54" s="50"/>
      <c r="M54" s="50"/>
      <c r="N54" s="51"/>
      <c r="O54" s="51"/>
      <c r="P54" s="7"/>
      <c r="Q54" s="7"/>
      <c r="R54" s="7"/>
      <c r="S54" s="7"/>
      <c r="T54" s="7"/>
      <c r="U54" s="7"/>
      <c r="V54" s="7"/>
      <c r="W54" s="7"/>
      <c r="X54" s="7"/>
      <c r="Y54" s="7"/>
      <c r="Z54" s="7"/>
      <c r="AA54" s="7"/>
    </row>
    <row r="55">
      <c r="A55" s="24">
        <v>51.0</v>
      </c>
      <c r="B55" s="24" t="s">
        <v>590</v>
      </c>
      <c r="C55" s="29" t="s">
        <v>2208</v>
      </c>
      <c r="D55" s="29" t="s">
        <v>2209</v>
      </c>
      <c r="E55" s="32" t="s">
        <v>2213</v>
      </c>
      <c r="F55" t="inlineStr">
        <is>
          <t>200 OK:
{
  "success": true,
  "statusCode": 200,
  "message": "Cập nhật vai trò người dùng thành công",
  "data": {
    "userId": "uuid",
    "roles": [
      "STAFF"
    ],
    "updatedBy": "uuid"
  },
  "traceId": "00-4bf92f3577b34da6a3ce929d0e0e4736-00f067aa0ba902b7-01",
  "timestamp": "2026-10-26T00:00:00Z"
}</t>
        </is>
      </c>
      <c r="G55" t="inlineStr">
        <is>
          <t>400 ERR_SOD_VIOLATION: Separation of duties (SoD) policy violation detected.
400 ERR_CANNOT_DEMOTE_LAST_ADMIN: Cannot demote the last remaining administrator.
401 ERR_UNAUTHORIZED: Authentication required, user is not logged in.
403 ERR_FORBIDDEN: Only super admin has permission to assign roles.</t>
        </is>
      </c>
      <c r="I55" s="36" t="s">
        <v>2219</v>
      </c>
      <c r="J55" s="39"/>
      <c r="K55" s="39"/>
      <c r="L55" s="39"/>
      <c r="M55" s="39"/>
      <c r="N55" s="40"/>
      <c r="O55" s="40"/>
      <c r="P55" s="7"/>
      <c r="Q55" s="7"/>
      <c r="R55" s="7"/>
      <c r="S55" s="7"/>
      <c r="T55" s="7"/>
      <c r="U55" s="7"/>
      <c r="V55" s="7"/>
      <c r="W55" s="7"/>
      <c r="X55" s="7"/>
      <c r="Y55" s="7"/>
      <c r="Z55" s="7"/>
      <c r="AA55" s="7"/>
    </row>
    <row r="56">
      <c r="A56" s="42">
        <v>52.0</v>
      </c>
      <c r="B56" s="42" t="s">
        <v>644</v>
      </c>
      <c r="C56" s="45" t="s">
        <v>2224</v>
      </c>
      <c r="D56" s="45" t="s">
        <v>2226</v>
      </c>
      <c r="E56" s="46" t="s">
        <v>2227</v>
      </c>
      <c r="F56" t="inlineStr">
        <is>
          <t>200 OK:
{
  "success": true,
  "statusCode": 200,
  "message": "Điều chỉnh điểm uy tín người dùng thành công",
  "data": {
    "userId": "uuid",
    "previousScore": "int",
    "newScore": "int",
    "delta": "int",
    "trustLevel": "string"
  },
  "traceId": "00-4bf92f3577b34da6a3ce929d0e0e4736-00f067aa0ba902b7-01",
  "timestamp": "2026-10-26T00:00:00Z"
}</t>
        </is>
      </c>
      <c r="G56" t="inlineStr">
        <is>
          <t>400 ERR_REASON_REQUIRED: Reputation adjustment reason must be at least 10 characters long.
400 ERR_INVALID_DELTA: Reputation delta must be non-zero and within [-50, +50].
401 ERR_UNAUTHORIZED: Authentication required, user is not logged in.
403 ERR_PERMISSION_DENIED: You do not have permission to adjust reputation scores.
404 ERR_USER_NOT_FOUND: User was not found.</t>
        </is>
      </c>
      <c r="I56" s="48" t="s">
        <v>2234</v>
      </c>
      <c r="J56" s="49" t="s">
        <v>2235</v>
      </c>
      <c r="K56" s="49" t="s">
        <v>2236</v>
      </c>
      <c r="L56" s="49" t="s">
        <v>2237</v>
      </c>
      <c r="M56" s="50"/>
      <c r="N56" s="51"/>
      <c r="O56" s="51"/>
      <c r="P56" s="7"/>
      <c r="Q56" s="7"/>
      <c r="R56" s="7"/>
      <c r="S56" s="7"/>
      <c r="T56" s="7"/>
      <c r="U56" s="7"/>
      <c r="V56" s="7"/>
      <c r="W56" s="7"/>
      <c r="X56" s="7"/>
      <c r="Y56" s="7"/>
      <c r="Z56" s="7"/>
      <c r="AA56" s="7"/>
    </row>
    <row r="57">
      <c r="A57" s="24">
        <v>53.0</v>
      </c>
      <c r="B57" s="26" t="s">
        <v>810</v>
      </c>
      <c r="C57" s="29" t="s">
        <v>2240</v>
      </c>
      <c r="D57" s="29" t="s">
        <v>2242</v>
      </c>
      <c r="E57" s="32" t="s">
        <v>778</v>
      </c>
      <c r="F57" t="inlineStr">
        <is>
          <t>200 OK:
{
  "success": true,
  "statusCode": 200,
  "message": "Lấy danh mục vai trò thành công",
  "data": {
    "items": [
      {
        "roleId": "int",
        "roleName": "string",
        "description": "string",
        "isSystemRole": "boolean",
        "permissionsCount": "int"
      }
    ],
    "pagination": {
      "pageIndex": 1,
      "pageSize": 20,
      "totalCount": 1,
      "totalPages": 1,
      "hasPreviousPage": false,
      "hasNextPage": false
    }
  },
  "traceId": "00-4bf92f3577b34da6a3ce929d0e0e4736-00f067aa0ba902b7-01",
  "timestamp": "2026-10-26T00:00:00Z"
}</t>
        </is>
      </c>
      <c r="G57" t="inlineStr">
        <is>
          <t>401 ERR_UNAUTHORIZED: Authentication required, user is not logged in.
403 ERR_PERMISSION_DENIED: You do not have permission to view roles.</t>
        </is>
      </c>
      <c r="I57" s="36" t="s">
        <v>2254</v>
      </c>
      <c r="J57" s="38"/>
      <c r="K57" s="38"/>
      <c r="L57" s="39"/>
      <c r="M57" s="39"/>
      <c r="N57" s="40"/>
      <c r="O57" s="40"/>
      <c r="P57" s="7"/>
      <c r="Q57" s="7"/>
      <c r="R57" s="7"/>
      <c r="S57" s="7"/>
      <c r="T57" s="7"/>
      <c r="U57" s="7"/>
      <c r="V57" s="7"/>
      <c r="W57" s="7"/>
      <c r="X57" s="7"/>
      <c r="Y57" s="7"/>
      <c r="Z57" s="7"/>
      <c r="AA57" s="7"/>
    </row>
    <row r="58">
      <c r="A58" s="42">
        <v>54.0</v>
      </c>
      <c r="B58" s="43" t="s">
        <v>810</v>
      </c>
      <c r="C58" s="45" t="s">
        <v>2261</v>
      </c>
      <c r="D58" s="45" t="s">
        <v>2262</v>
      </c>
      <c r="E58" s="46" t="s">
        <v>778</v>
      </c>
      <c r="F58" t="inlineStr">
        <is>
          <t>200 OK:
{
  "success": true,
  "statusCode": 200,
  "message": "Lấy danh mục đặc quyền thành công",
  "data": {
    "items": [
      {
        "permissionId": "int",
        "permissionCode": "string",
        "module": "string",
        "description": "string"
      }
    ],
    "pagination": {
      "pageIndex": 1,
      "pageSize": 20,
      "totalCount": 1,
      "totalPages": 1,
      "hasPreviousPage": false,
      "hasNextPage": false
    }
  },
  "traceId": "00-4bf92f3577b34da6a3ce929d0e0e4736-00f067aa0ba902b7-01",
  "timestamp": "2026-10-26T00:00:00Z"
}</t>
        </is>
      </c>
      <c r="G58" t="inlineStr">
        <is>
          <t>401 ERR_UNAUTHORIZED: Authentication required, user is not logged in.
403 ERR_PERMISSION_DENIED: You do not have permission to view permissions.</t>
        </is>
      </c>
      <c r="I58" s="48" t="s">
        <v>2273</v>
      </c>
      <c r="J58" s="50"/>
      <c r="K58" s="50"/>
      <c r="L58" s="50"/>
      <c r="M58" s="50"/>
      <c r="N58" s="51"/>
      <c r="O58" s="51"/>
      <c r="P58" s="7"/>
      <c r="Q58" s="7"/>
      <c r="R58" s="7"/>
      <c r="S58" s="7"/>
      <c r="T58" s="7"/>
      <c r="U58" s="7"/>
      <c r="V58" s="7"/>
      <c r="W58" s="7"/>
      <c r="X58" s="7"/>
      <c r="Y58" s="7"/>
      <c r="Z58" s="7"/>
      <c r="AA58" s="7"/>
    </row>
    <row r="59">
      <c r="A59" s="24">
        <v>55.0</v>
      </c>
      <c r="B59" s="26" t="s">
        <v>590</v>
      </c>
      <c r="C59" s="29" t="s">
        <v>2280</v>
      </c>
      <c r="D59" s="29" t="s">
        <v>2281</v>
      </c>
      <c r="E59" s="32" t="s">
        <v>2283</v>
      </c>
      <c r="F59" t="inlineStr">
        <is>
          <t>200 OK:
{
  "success": true,
  "statusCode": 200,
  "message": "Cập nhật quyền hạn vai trò thành công",
  "data": {
    "roleId": "int",
    "updatedPermissionsCount": "int"
  },
  "traceId": "00-4bf92f3577b34da6a3ce929d0e0e4736-00f067aa0ba902b7-01",
  "timestamp": "2026-10-26T00:00:00Z"
}</t>
        </is>
      </c>
      <c r="G59" t="inlineStr">
        <is>
          <t>400 ERR_CANNOT_EDIT_SYSTEM_ROLE: System-defined roles cannot be edited or modified.
401 ERR_UNAUTHORIZED: Authentication required, user is not logged in.
403 ERR_PERMISSION_DENIED: You do not have permission to edit roles.
404 ERR_ROLE_NOT_FOUND: Specified role does not exist.</t>
        </is>
      </c>
      <c r="I59" s="36" t="s">
        <v>2294</v>
      </c>
      <c r="J59" s="39"/>
      <c r="K59" s="39"/>
      <c r="L59" s="39"/>
      <c r="M59" s="39"/>
      <c r="N59" s="40"/>
      <c r="O59" s="40"/>
      <c r="P59" s="7"/>
      <c r="Q59" s="7"/>
      <c r="R59" s="7"/>
      <c r="S59" s="7"/>
      <c r="T59" s="7"/>
      <c r="U59" s="7"/>
      <c r="V59" s="7"/>
      <c r="W59" s="7"/>
      <c r="X59" s="7"/>
      <c r="Y59" s="7"/>
      <c r="Z59" s="7"/>
      <c r="AA59" s="7"/>
    </row>
    <row r="60">
      <c r="A60" s="42">
        <v>56.0</v>
      </c>
      <c r="B60" s="43" t="s">
        <v>810</v>
      </c>
      <c r="C60" s="45" t="s">
        <v>2299</v>
      </c>
      <c r="D60" s="45" t="s">
        <v>2301</v>
      </c>
      <c r="E60" s="46" t="s">
        <v>2303</v>
      </c>
      <c r="F60" t="inlineStr">
        <is>
          <t>200 OK:
{
  "success": true,
  "statusCode": 200,
  "data": {
    "items": [
      {
        "id": "uuid",
        "actorId": "uuid",
        "action": "USER_BANNED",
        "targetEntity": "users",
        "oldValues": {},
        "newValues": {},
        "reason": "Policy violation.",
        "ipAddress": "127.0.0.1",
        "createdAt": "2026-10-26T00:00:00Z"
      }
    ],
    "pagination": {
      "pageIndex": 1,
      "pageSize": 20,
      "totalCount": 1,
      "totalPages": 1,
      "hasPreviousPage": false,
      "hasNextPage": false
    }
  },
  "traceId": "00-4bf92f3577b34da6a3ce929d0e0e4736-00f067aa0ba902b7-01",
  "timestamp": "2026-10-26T00:00:00Z"
}</t>
        </is>
      </c>
      <c r="G60" t="inlineStr">
        <is>
          <t>401 UNAUTHORIZED: Token is missing, expired, or invalid.
403 FORBIDDEN: User does not have permission to view audit logs.</t>
        </is>
      </c>
      <c r="I60" s="48" t="s">
        <v>2323</v>
      </c>
      <c r="J60" s="50"/>
      <c r="K60" s="50"/>
      <c r="L60" s="50"/>
      <c r="M60" s="50"/>
      <c r="N60" s="51"/>
      <c r="O60" s="51"/>
      <c r="P60" s="7"/>
      <c r="Q60" s="7"/>
      <c r="R60" s="7"/>
      <c r="S60" s="7"/>
      <c r="T60" s="7"/>
      <c r="U60" s="7"/>
      <c r="V60" s="7"/>
      <c r="W60" s="7"/>
      <c r="X60" s="7"/>
      <c r="Y60" s="7"/>
      <c r="Z60" s="7"/>
      <c r="AA60" s="7"/>
    </row>
    <row r="61">
      <c r="A61" s="24">
        <v>57.0</v>
      </c>
      <c r="B61" s="26" t="s">
        <v>810</v>
      </c>
      <c r="C61" s="29" t="s">
        <v>2329</v>
      </c>
      <c r="D61" s="29" t="s">
        <v>2331</v>
      </c>
      <c r="E61" s="32" t="s">
        <v>778</v>
      </c>
      <c r="F61" t="inlineStr">
        <is>
          <t>200 OK:
{
  "success": true,
  "statusCode": 200,
  "message": "Lấy cấu hình hệ thống thành công",
  "data": {
    "items": [
      {
        "key": "string",
        "value": "string",
        "description": "string",
        "dataType": "string",
        "updatedAt": "timestamp"
      }
    ],
    "pagination": {
      "pageIndex": 1,
      "pageSize": 20,
      "totalCount": 1,
      "totalPages": 1,
      "hasPreviousPage": false,
      "hasNextPage": false
    }
  },
  "traceId": "00-4bf92f3577b34da6a3ce929d0e0e4736-00f067aa0ba902b7-01",
  "timestamp": "2026-10-26T00:00:00Z"
}</t>
        </is>
      </c>
      <c r="G61" t="inlineStr">
        <is>
          <t>401 ERR_UNAUTHORIZED: Authentication required, user is not logged in.
403 ERR_PERMISSION_DENIED: You do not have permission to view system configurations.</t>
        </is>
      </c>
      <c r="I61" s="36" t="s">
        <v>2348</v>
      </c>
      <c r="J61" s="38" t="s">
        <v>2351</v>
      </c>
      <c r="K61" s="39"/>
      <c r="L61" s="39"/>
      <c r="M61" s="39"/>
      <c r="N61" s="40"/>
      <c r="O61" s="40"/>
      <c r="P61" s="7"/>
      <c r="Q61" s="7"/>
      <c r="R61" s="7"/>
      <c r="S61" s="7"/>
      <c r="T61" s="7"/>
      <c r="U61" s="7"/>
      <c r="V61" s="7"/>
      <c r="W61" s="7"/>
      <c r="X61" s="7"/>
      <c r="Y61" s="7"/>
      <c r="Z61" s="7"/>
      <c r="AA61" s="7"/>
    </row>
    <row r="62">
      <c r="A62" s="42">
        <v>58.0</v>
      </c>
      <c r="B62" s="43" t="s">
        <v>590</v>
      </c>
      <c r="C62" s="45" t="s">
        <v>2329</v>
      </c>
      <c r="D62" s="45" t="s">
        <v>2357</v>
      </c>
      <c r="E62" s="46" t="s">
        <v>2360</v>
      </c>
      <c r="F62" t="inlineStr">
        <is>
          <t>200 OK:
{
  "success": true,
  "statusCode": 200,
  "message": "Cập nhật cấu hình sàn thành công",
  "data": {
    "key": "string",
    "oldValue": "string",
    "newValue": "string",
    "updatedAt": "timestamp"
  },
  "traceId": "00-4bf92f3577b34da6a3ce929d0e0e4736-00f067aa0ba902b7-01",
  "timestamp": "2026-10-26T00:00:00Z"
}</t>
        </is>
      </c>
      <c r="G62" t="inlineStr">
        <is>
          <t>400 ERR_INVALID_CONFIG_VALUE: Configuration parameter value is invalid.
401 ERR_UNAUTHORIZED: Authentication required, user is not logged in.
403 ERR_PERMISSION_DENIED: You do not have permission to edit system configurations.
404 ERR_CONFIG_NOT_FOUND: Configuration key was not found.</t>
        </is>
      </c>
      <c r="I62" s="48" t="s">
        <v>2371</v>
      </c>
      <c r="J62" s="49" t="s">
        <v>2375</v>
      </c>
      <c r="K62" s="49" t="s">
        <v>2377</v>
      </c>
      <c r="L62" s="50"/>
      <c r="M62" s="50"/>
      <c r="N62" s="51"/>
      <c r="O62" s="51"/>
      <c r="P62" s="7"/>
      <c r="Q62" s="7"/>
      <c r="R62" s="7"/>
      <c r="S62" s="7"/>
      <c r="T62" s="7"/>
      <c r="U62" s="7"/>
      <c r="V62" s="7"/>
      <c r="W62" s="7"/>
      <c r="X62" s="7"/>
      <c r="Y62" s="7"/>
      <c r="Z62" s="7"/>
      <c r="AA62" s="7"/>
    </row>
    <row r="63">
      <c r="A63" s="106"/>
      <c r="B63" s="106"/>
      <c r="C63" s="107"/>
      <c r="D63" s="107"/>
      <c r="E63" s="107"/>
      <c r="F63" s="108"/>
      <c r="G63" s="108"/>
      <c r="H63" s="109"/>
      <c r="I63" s="109"/>
      <c r="J63" s="109"/>
      <c r="K63" s="109"/>
      <c r="L63" s="109"/>
      <c r="M63" s="109"/>
      <c r="N63" s="109"/>
      <c r="O63" s="110"/>
      <c r="P63" s="111"/>
      <c r="Q63" s="111"/>
      <c r="R63" s="111"/>
      <c r="S63" s="111"/>
      <c r="T63" s="111"/>
      <c r="U63" s="111"/>
      <c r="V63" s="111"/>
      <c r="W63" s="111"/>
      <c r="X63" s="111"/>
      <c r="Y63" s="111"/>
      <c r="Z63" s="111"/>
      <c r="AA63" s="111"/>
    </row>
    <row r="64">
      <c r="A64" s="106"/>
      <c r="O64" s="112"/>
      <c r="P64" s="7"/>
      <c r="Q64" s="7"/>
      <c r="R64" s="7"/>
      <c r="S64" s="7"/>
      <c r="T64" s="7"/>
      <c r="U64" s="7"/>
      <c r="V64" s="7"/>
      <c r="W64" s="7"/>
      <c r="X64" s="7"/>
      <c r="Y64" s="7"/>
      <c r="Z64" s="7"/>
      <c r="AA64" s="7"/>
    </row>
    <row r="65" ht="27.0" customHeight="1">
      <c r="A65" s="113"/>
      <c r="B65" s="114"/>
      <c r="C65" s="115"/>
      <c r="D65" s="115"/>
      <c r="E65" s="115"/>
      <c r="F65" s="116"/>
      <c r="G65" s="117" t="s">
        <v>2411</v>
      </c>
      <c r="H65" s="118"/>
      <c r="I65" s="119"/>
      <c r="J65" s="119"/>
      <c r="K65" s="119"/>
      <c r="L65" s="119"/>
      <c r="M65" s="119"/>
      <c r="N65" s="119"/>
      <c r="O65" s="119"/>
      <c r="P65" s="7"/>
      <c r="Q65" s="7"/>
      <c r="R65" s="7"/>
      <c r="S65" s="7"/>
      <c r="T65" s="7"/>
      <c r="U65" s="7"/>
      <c r="V65" s="7"/>
      <c r="W65" s="7"/>
      <c r="X65" s="7"/>
      <c r="Y65" s="7"/>
      <c r="Z65" s="7"/>
      <c r="AA65" s="7"/>
    </row>
    <row r="66">
      <c r="A66" s="121"/>
      <c r="B66" s="122"/>
      <c r="C66" s="123"/>
      <c r="D66" s="124"/>
      <c r="E66" s="125"/>
      <c r="F66" s="126"/>
      <c r="G66" s="126"/>
      <c r="H66" s="127"/>
      <c r="I66" s="128"/>
      <c r="J66" s="129"/>
      <c r="K66" s="129"/>
      <c r="L66" s="129"/>
      <c r="M66" s="129"/>
      <c r="N66" s="129"/>
      <c r="O66" s="129"/>
      <c r="P66" s="7"/>
      <c r="Q66" s="7"/>
      <c r="R66" s="7"/>
      <c r="S66" s="7"/>
      <c r="T66" s="7"/>
      <c r="U66" s="7"/>
      <c r="V66" s="7"/>
      <c r="W66" s="7"/>
      <c r="X66" s="7"/>
      <c r="Y66" s="7"/>
      <c r="Z66" s="7"/>
      <c r="AA66" s="7"/>
    </row>
    <row r="67">
      <c r="A67" s="130"/>
      <c r="B67" s="131"/>
      <c r="C67" s="132"/>
      <c r="D67" s="133"/>
      <c r="E67" s="134"/>
      <c r="F67" s="136"/>
      <c r="G67" s="136"/>
      <c r="H67" s="127"/>
      <c r="I67" s="137"/>
      <c r="J67" s="137"/>
      <c r="K67" s="138"/>
      <c r="L67" s="138"/>
      <c r="M67" s="138"/>
      <c r="N67" s="138"/>
      <c r="O67" s="138"/>
      <c r="P67" s="7"/>
      <c r="Q67" s="7"/>
      <c r="R67" s="7"/>
      <c r="S67" s="7"/>
      <c r="T67" s="7"/>
      <c r="U67" s="7"/>
      <c r="V67" s="7"/>
      <c r="W67" s="7"/>
      <c r="X67" s="7"/>
      <c r="Y67" s="7"/>
      <c r="Z67" s="7"/>
      <c r="AA67" s="7"/>
    </row>
    <row r="68">
      <c r="A68" s="121"/>
      <c r="B68" s="122"/>
      <c r="C68" s="139"/>
      <c r="D68" s="124"/>
      <c r="E68" s="125"/>
      <c r="F68" s="125"/>
      <c r="G68" s="125"/>
      <c r="H68" s="127"/>
      <c r="I68" s="140"/>
      <c r="J68" s="129"/>
      <c r="K68" s="129"/>
      <c r="L68" s="129"/>
      <c r="M68" s="129"/>
      <c r="N68" s="129"/>
      <c r="O68" s="129"/>
      <c r="P68" s="7"/>
      <c r="Q68" s="7"/>
      <c r="R68" s="7"/>
      <c r="S68" s="7"/>
      <c r="T68" s="7"/>
      <c r="U68" s="7"/>
      <c r="V68" s="7"/>
      <c r="W68" s="7"/>
      <c r="X68" s="7"/>
      <c r="Y68" s="7"/>
      <c r="Z68" s="7"/>
      <c r="AA68" s="7"/>
    </row>
    <row r="69">
      <c r="A69" s="130"/>
      <c r="B69" s="131"/>
      <c r="C69" s="132"/>
      <c r="D69" s="141"/>
      <c r="E69" s="134"/>
      <c r="F69" s="134"/>
      <c r="G69" s="134"/>
      <c r="H69" s="127"/>
      <c r="I69" s="142"/>
      <c r="J69" s="138"/>
      <c r="K69" s="138"/>
      <c r="L69" s="138"/>
      <c r="M69" s="138"/>
      <c r="N69" s="138"/>
      <c r="O69" s="138"/>
      <c r="P69" s="7"/>
      <c r="Q69" s="7"/>
      <c r="R69" s="7"/>
      <c r="S69" s="7"/>
      <c r="T69" s="7"/>
      <c r="U69" s="7"/>
      <c r="V69" s="7"/>
      <c r="W69" s="7"/>
      <c r="X69" s="7"/>
      <c r="Y69" s="7"/>
      <c r="Z69" s="7"/>
      <c r="AA69" s="7"/>
    </row>
    <row r="70">
      <c r="A70" s="121"/>
      <c r="B70" s="122"/>
      <c r="C70" s="139"/>
      <c r="D70" s="143"/>
      <c r="E70" s="125"/>
      <c r="F70" s="125"/>
      <c r="G70" s="125"/>
      <c r="H70" s="127"/>
      <c r="I70" s="144"/>
      <c r="J70" s="129"/>
      <c r="K70" s="129"/>
      <c r="L70" s="129"/>
      <c r="M70" s="129"/>
      <c r="N70" s="129"/>
      <c r="O70" s="129"/>
      <c r="P70" s="7"/>
      <c r="Q70" s="7"/>
      <c r="R70" s="7"/>
      <c r="S70" s="7"/>
      <c r="T70" s="7"/>
      <c r="U70" s="7"/>
      <c r="V70" s="7"/>
      <c r="W70" s="7"/>
      <c r="X70" s="7"/>
      <c r="Y70" s="7"/>
      <c r="Z70" s="7"/>
      <c r="AA70" s="7"/>
    </row>
    <row r="71">
      <c r="A71" s="130"/>
      <c r="B71" s="131"/>
      <c r="C71" s="132"/>
      <c r="D71" s="141"/>
      <c r="E71" s="134"/>
      <c r="F71" s="134"/>
      <c r="G71" s="134"/>
      <c r="H71" s="127"/>
      <c r="I71" s="142"/>
      <c r="J71" s="138"/>
      <c r="K71" s="138"/>
      <c r="L71" s="138"/>
      <c r="M71" s="138"/>
      <c r="N71" s="138"/>
      <c r="O71" s="138"/>
      <c r="P71" s="7"/>
      <c r="Q71" s="7"/>
      <c r="R71" s="7"/>
      <c r="S71" s="7"/>
      <c r="T71" s="7"/>
      <c r="U71" s="7"/>
      <c r="V71" s="7"/>
      <c r="W71" s="7"/>
      <c r="X71" s="7"/>
      <c r="Y71" s="7"/>
      <c r="Z71" s="7"/>
      <c r="AA71" s="7"/>
    </row>
    <row r="72">
      <c r="A72" s="145"/>
      <c r="B72" s="145"/>
      <c r="C72" s="146"/>
      <c r="D72" s="146"/>
      <c r="E72" s="147"/>
      <c r="F72" s="147"/>
      <c r="G72" s="147"/>
      <c r="H72" s="148"/>
      <c r="I72" s="111"/>
      <c r="J72" s="111"/>
      <c r="K72" s="111"/>
      <c r="L72" s="111"/>
      <c r="M72" s="111"/>
      <c r="N72" s="111"/>
      <c r="O72" s="111"/>
      <c r="P72" s="7"/>
      <c r="Q72" s="7"/>
      <c r="R72" s="7"/>
      <c r="S72" s="7"/>
      <c r="T72" s="7"/>
      <c r="U72" s="7"/>
      <c r="V72" s="7"/>
      <c r="W72" s="7"/>
      <c r="X72" s="7"/>
      <c r="Y72" s="7"/>
      <c r="Z72" s="7"/>
      <c r="AA72" s="7"/>
    </row>
    <row r="73">
      <c r="A73" s="130"/>
      <c r="B73" s="131"/>
      <c r="C73" s="149"/>
      <c r="D73" s="141"/>
      <c r="E73" s="134"/>
      <c r="F73" s="134"/>
      <c r="G73" s="134"/>
      <c r="H73" s="127"/>
      <c r="I73" s="142"/>
      <c r="J73" s="138"/>
      <c r="K73" s="138"/>
      <c r="L73" s="138"/>
      <c r="M73" s="138"/>
      <c r="N73" s="138"/>
      <c r="O73" s="138"/>
      <c r="P73" s="7"/>
      <c r="Q73" s="7"/>
      <c r="R73" s="7"/>
      <c r="S73" s="7"/>
      <c r="T73" s="7"/>
      <c r="U73" s="7"/>
      <c r="V73" s="7"/>
      <c r="W73" s="7"/>
      <c r="X73" s="7"/>
      <c r="Y73" s="7"/>
      <c r="Z73" s="7"/>
      <c r="AA73" s="7"/>
    </row>
    <row r="74">
      <c r="A74" s="150" t="s">
        <v>2509</v>
      </c>
      <c r="O74" s="151"/>
      <c r="P74" s="7"/>
      <c r="Q74" s="7"/>
      <c r="R74" s="7"/>
      <c r="S74" s="7"/>
      <c r="T74" s="7"/>
      <c r="U74" s="7"/>
      <c r="V74" s="7"/>
      <c r="W74" s="7"/>
      <c r="X74" s="7"/>
      <c r="Y74" s="7"/>
      <c r="Z74" s="7"/>
      <c r="AA74" s="7"/>
    </row>
    <row r="75" ht="27.0" customHeight="1">
      <c r="A75" s="152" t="s">
        <v>0</v>
      </c>
      <c r="B75" s="153" t="s">
        <v>19</v>
      </c>
      <c r="C75" s="154" t="s">
        <v>20</v>
      </c>
      <c r="D75" s="154" t="s">
        <v>4</v>
      </c>
      <c r="E75" s="154" t="s">
        <v>6</v>
      </c>
      <c r="F75" t="inlineStr">
        <is>
          <t>Response</t>
        </is>
      </c>
      <c r="G75" t="inlineStr">
        <is>
          <t>Error.</t>
        </is>
      </c>
      <c r="H75" s="118" t="s">
        <v>25</v>
      </c>
      <c r="I75" s="156">
        <v>1.0</v>
      </c>
      <c r="J75" s="156">
        <v>2.0</v>
      </c>
      <c r="K75" s="156">
        <v>3.0</v>
      </c>
      <c r="L75" s="156">
        <v>4.0</v>
      </c>
      <c r="M75" s="156">
        <v>5.0</v>
      </c>
      <c r="N75" s="156">
        <v>6.0</v>
      </c>
      <c r="O75" s="156">
        <v>7.0</v>
      </c>
      <c r="P75" s="157"/>
      <c r="Q75" s="7"/>
      <c r="R75" s="7"/>
      <c r="S75" s="7"/>
      <c r="T75" s="7"/>
      <c r="U75" s="7"/>
      <c r="V75" s="7"/>
      <c r="W75" s="7"/>
      <c r="X75" s="7"/>
      <c r="Y75" s="7"/>
      <c r="Z75" s="7"/>
      <c r="AA75" s="7"/>
    </row>
    <row r="76">
      <c r="A76" s="158"/>
      <c r="B76" s="159" t="s">
        <v>810</v>
      </c>
      <c r="C76" s="160" t="s">
        <v>2529</v>
      </c>
      <c r="D76" s="161" t="s">
        <v>2531</v>
      </c>
      <c r="E76" s="162" t="s">
        <v>2532</v>
      </c>
      <c r="F76" t="inlineStr">
        <is>
          <t>200 OK:
{
  "success": true,
  "statusCode": 200,
  "data": {
    "items": [
      {
        "productId": "uuid",
        "name": "string",
        "brand": "string",
        "saleType": "REGULAR|AUCTION",
        "minPrice": "decimal | null",
        "maxPrice": "decimal | null",
        "primaryImageUrl": "string | null",
        "avgRating": "decimal | null",
        "status": "DRAFT|ACTIVE|INACTIVE",
        "auctionStatus": "DRAFT|SCHEDULED|RUNNING|ENDED|SETTLED|FAILED|CANCELLED | null",
        "isOpen": "boolean | null",
        "isSold": "boolean | null"
      }
    ],
    "pagination": {
      "pageIndex": 1,
      "pageSize": 20,
      "totalCount": 100,
      "totalPages": 5,
      "hasPreviousPage": false,
      "hasNextPage": true
    }
  },
  "traceId": "00-4bf92f3577b34da6a3ce929d0e0e4736-00f067aa0ba902b7-01",
  "timestamp": "2026-10-26T00:00:00Z"
}</t>
        </is>
      </c>
      <c r="G76" t="inlineStr">
        <is>
          <t>400 VALIDATION_ERROR: Page &lt; 1, pageSize outside 1..100, invalid sortBy or sortDir, or invalid UUID format.
401 UNAUTHORIZED: Provided token is invalid or has expired.</t>
        </is>
      </c>
      <c r="H76" s="163"/>
      <c r="I76" s="159" t="s">
        <v>292</v>
      </c>
      <c r="J76" s="158"/>
      <c r="K76" s="158"/>
      <c r="L76" s="158"/>
      <c r="M76" s="158"/>
      <c r="N76" s="164"/>
      <c r="O76" s="164"/>
      <c r="P76" s="164"/>
      <c r="Q76" s="7"/>
      <c r="R76" s="7"/>
      <c r="S76" s="7"/>
      <c r="T76" s="7"/>
      <c r="U76" s="7"/>
      <c r="V76" s="7"/>
      <c r="W76" s="7"/>
      <c r="X76" s="7"/>
      <c r="Y76" s="7"/>
      <c r="Z76" s="7"/>
      <c r="AA76" s="7"/>
    </row>
    <row r="77">
      <c r="A77" s="158"/>
      <c r="B77" s="159" t="s">
        <v>810</v>
      </c>
      <c r="C77" s="161" t="s">
        <v>2538</v>
      </c>
      <c r="D77" s="161" t="s">
        <v>2541</v>
      </c>
      <c r="E77" s="165" t="s">
        <v>2543</v>
      </c>
      <c r="F77" t="inlineStr">
        <is>
          <t>200 OK:
{
  "success": true,
  "statusCode": 200,
  "data": {
    "items": [
      {
        "productId": "uuid",
        "name": "string",
        "minPrice": "decimal",
        "maxPrice": "decimal",
        "primaryImageUrl": "string",
        "avgRating": "decimal"
      }
    ],
    "pagination": {
      "pageIndex": 1,
      "pageSize": 20,
      "totalCount": 100,
      "totalPages": 5,
      "hasPreviousPage": false,
      "hasNextPage": true
    }
  },
  "traceId": "00-4bf92f3577b34da6a3ce929d0e0e4736-00f067aa0ba902b7-01",
  "timestamp": "2026-10-26T00:00:00Z"
}</t>
        </is>
      </c>
      <c r="G77" t="inlineStr">
        <is>
          <t>400 VAL_INVALID_FILTER: Search filter parameters are invalid.</t>
        </is>
      </c>
      <c r="H77" s="163"/>
      <c r="I77" s="159" t="s">
        <v>685</v>
      </c>
      <c r="J77" s="159" t="s">
        <v>705</v>
      </c>
      <c r="K77" s="158"/>
      <c r="L77" s="158"/>
      <c r="M77" s="158"/>
      <c r="N77" s="164"/>
      <c r="O77" s="164"/>
      <c r="P77" s="164"/>
      <c r="Q77" s="7"/>
      <c r="R77" s="7"/>
      <c r="S77" s="7"/>
      <c r="T77" s="7"/>
      <c r="U77" s="7"/>
      <c r="V77" s="7"/>
      <c r="W77" s="7"/>
      <c r="X77" s="7"/>
      <c r="Y77" s="7"/>
      <c r="Z77" s="7"/>
      <c r="AA77" s="7"/>
    </row>
    <row r="78">
      <c r="A78" s="158"/>
      <c r="B78" s="159" t="s">
        <v>810</v>
      </c>
      <c r="C78" s="161" t="s">
        <v>2556</v>
      </c>
      <c r="D78" s="161" t="s">
        <v>2557</v>
      </c>
      <c r="E78" s="162" t="s">
        <v>2558</v>
      </c>
      <c r="F78" t="inlineStr">
        <is>
          <t>200 OK:
{
  "success": true,
  "statusCode": 200,
  "data": {
    "product": {
      "productId": "uuid",
      "sellerId": "uuid",
      "categoryId": "uuid",
      "name": "string",
      "description": "string",
      "brand": "string",
      "saleType": "REGULAR|AUCTION",
      "status": "DRAFT|ACTIVE|INACTIVE",
      "statusReason": "SELLER_PAUSED|DISCONTINUED|ADMIN_LOCKED|OTHER | null",
      "specifications": "object",
      "publishedAt": "datetime | null"
    },
    "category": {
      "categoryId": "uuid",
      "parentId": "uuid | null",
      "name": "string",
      "description": "string",
      "level": "int (1..3)",
      "sortOrder": "int",
      "isActive": "boolean"
    },
    "variants": [
      {
        "variantId": "uuid",
        "skuCode": "string",
        "name": "string",
        "price": "decimal | null",
        "status": "ACTIVE|INACTIVE",
        "isDefault": "boolean",
        "attributes": [
          {
            "attrName": "string",
            "attrValue": "string"
          }
        ]
      }
    ],
    "images": [
      {
        "imageId": "uuid",
        "url": "string",
        "altText": "string",
        "isActive": "boolean",
        "sortOrder": "int",
        "variantId": "uuid | null"
      }
    ],
    "rating": {
      "avgRating": "decimal | null",
      "reviewCount": "int"
    }
  },
  "traceId": "00-4bf92f3577b34da6a3ce929d0e0e4736-00f067aa0ba902b7-01",
  "timestamp": "2026-10-26T00:00:00Z"
}</t>
        </is>
      </c>
      <c r="G78" t="inlineStr">
        <is>
          <t>400 VALIDATION_ERROR: Productid or auctionid is not a valid UUID format.
404 PRODUCT_NOT_FOUND: Product was not found, has been deleted, or is not accessible.</t>
        </is>
      </c>
      <c r="H78" s="163"/>
      <c r="I78" s="159" t="s">
        <v>254</v>
      </c>
      <c r="J78" s="158"/>
      <c r="K78" s="158"/>
      <c r="L78" s="158"/>
      <c r="M78" s="158"/>
      <c r="N78" s="164"/>
      <c r="O78" s="164"/>
      <c r="P78" s="164"/>
      <c r="Q78" s="7"/>
      <c r="R78" s="7"/>
      <c r="S78" s="7"/>
      <c r="T78" s="7"/>
      <c r="U78" s="7"/>
      <c r="V78" s="7"/>
      <c r="W78" s="7"/>
      <c r="X78" s="7"/>
      <c r="Y78" s="7"/>
      <c r="Z78" s="7"/>
      <c r="AA78" s="7"/>
    </row>
    <row r="79">
      <c r="A79" s="158"/>
      <c r="B79" s="159" t="s">
        <v>53</v>
      </c>
      <c r="C79" s="161" t="s">
        <v>2564</v>
      </c>
      <c r="D79" s="161" t="s">
        <v>2565</v>
      </c>
      <c r="E79" s="165" t="s">
        <v>2570</v>
      </c>
      <c r="F79" t="inlineStr">
        <is>
          <t>200 OK:
{
  "success": true,
  "statusCode": 200,
  "data": {
    "cartItemId": "uuid",
    "quantity": "int",
    "unitPriceSnapshot": "decimal",
    "cart": {
      "itemCount": "int",
      "subtotalAmount": "decimal"
    }
  },
  "traceId": "00-4bf92f3577b34da6a3ce929d0e0e4736-00f067aa0ba902b7-01",
  "timestamp": "2026-10-26T00:00:00Z"
}</t>
        </is>
      </c>
      <c r="G79" t="inlineStr">
        <is>
          <t>400 VAL_INVALID_QUANTITY: Quantity must be greater than zero.
400 STOCK_INSUFFICIENT: Requested quantity exceeds available stock.
401 UNAUTHORIZED: Token is missing, expired, or invalid.
404 PRODUCT_NOT_FOUND: Product or SKU does not exist.</t>
        </is>
      </c>
      <c r="H79" s="163"/>
      <c r="I79" s="159" t="s">
        <v>60</v>
      </c>
      <c r="J79" s="159" t="s">
        <v>748</v>
      </c>
      <c r="K79" s="159" t="s">
        <v>793</v>
      </c>
      <c r="L79" s="158"/>
      <c r="M79" s="158"/>
      <c r="N79" s="164"/>
      <c r="O79" s="164"/>
      <c r="P79" s="164"/>
      <c r="Q79" s="7"/>
      <c r="R79" s="7"/>
      <c r="S79" s="7"/>
      <c r="T79" s="7"/>
      <c r="U79" s="7"/>
      <c r="V79" s="7"/>
      <c r="W79" s="7"/>
      <c r="X79" s="7"/>
      <c r="Y79" s="7"/>
      <c r="Z79" s="7"/>
      <c r="AA79" s="7"/>
    </row>
    <row r="80">
      <c r="A80" s="158"/>
      <c r="B80" s="159" t="s">
        <v>810</v>
      </c>
      <c r="C80" s="161" t="s">
        <v>2583</v>
      </c>
      <c r="D80" s="161" t="s">
        <v>2584</v>
      </c>
      <c r="E80" s="162" t="s">
        <v>2586</v>
      </c>
      <c r="F80" t="inlineStr">
        <is>
          <t>200 OK:
{
  "success": true,
  "statusCode": 200,
  "data": {
    "cartId": "uuid",
    "status": "Active|Abandoned|Converted",
    "itemCount": "int",
    "subtotalAmount": "decimal",
    "lastActivityAt": "datetime",
    "groups": [
      {
        "sellerId": "uuid",
        "sellerName": "string",
        "items": [
          {
            "cartItemId": "uuid",
            "productId": "uuid",
            "skuId": "uuid",
            "productName": "string",
            "skuAttributes": "object",
            "imageUrl": "string",
            "quantity": "int",
            "unitPriceSnapshot": "decimal",
            "currentUnitPrice": "decimal",
            "lineTotal": "decimal",
            "priceChanged": "boolean",
            "stockAvailable": "int",
            "itemStatus": "OK|OUT_OF_STOCK|INACTIVE|PRICE_CHANGED"
          }
        ]
      }
    ],
    "warnings": [
      "CATALOG_UNAVAILABLE|FULFILLMENT_UNAVAILABLE"
    ]
  },
  "traceId": "00-4bf92f3577b34da6a3ce929d0e0e4736-00f067aa0ba902b7-01",
  "timestamp": "2026-10-26T00:00:00Z"
}</t>
        </is>
      </c>
      <c r="G80" t="inlineStr">
        <is>
          <t>401 UNAUTHORIZED: Token is missing, expired, or invalid.
404 CART_NOT_FOUND: User cart was not found.</t>
        </is>
      </c>
      <c r="H80" s="163"/>
      <c r="I80" s="159" t="s">
        <v>2592</v>
      </c>
      <c r="J80" s="159" t="s">
        <v>2593</v>
      </c>
      <c r="K80" s="159" t="s">
        <v>1497</v>
      </c>
      <c r="L80" s="159" t="s">
        <v>793</v>
      </c>
      <c r="M80" s="158"/>
      <c r="N80" s="164"/>
      <c r="O80" s="164"/>
      <c r="P80" s="164"/>
      <c r="Q80" s="7"/>
      <c r="R80" s="7"/>
      <c r="S80" s="7"/>
      <c r="T80" s="7"/>
      <c r="U80" s="7"/>
      <c r="V80" s="7"/>
      <c r="W80" s="7"/>
      <c r="X80" s="7"/>
      <c r="Y80" s="7"/>
      <c r="Z80" s="7"/>
      <c r="AA80" s="7"/>
    </row>
    <row r="81">
      <c r="A81" s="158"/>
      <c r="B81" s="159" t="s">
        <v>644</v>
      </c>
      <c r="C81" s="161" t="s">
        <v>2599</v>
      </c>
      <c r="D81" s="161" t="s">
        <v>2600</v>
      </c>
      <c r="E81" s="165" t="s">
        <v>2602</v>
      </c>
      <c r="F81" t="inlineStr">
        <is>
          <t>200 OK:
{
  "success": true,
  "statusCode": 200,
  "data": {
    "cartItemId": "uuid",
    "quantity": "int",
    "lineTotal": "decimal",
    "cart": {
      "itemCount": "int",
      "subtotalAmount": "decimal"
    }
  },
  "traceId": "00-4bf92f3577b34da6a3ce929d0e0e4736-00f067aa0ba902b7-01",
  "timestamp": "2026-10-26T00:00:00Z"
}</t>
        </is>
      </c>
      <c r="G81" t="inlineStr">
        <is>
          <t>400 VAL_INVALID_QUANTITY: Quantity must be greater than zero.
400 STOCK_INSUFFICIENT: Requested quantity exceeds available stock.
401 UNAUTHORIZED: Token is missing, expired, or invalid.
404 CART_ITEM_NOT_FOUND: Cart item does not exist in your cart.</t>
        </is>
      </c>
      <c r="H81" s="163"/>
      <c r="I81" s="159" t="s">
        <v>113</v>
      </c>
      <c r="J81" s="158"/>
      <c r="K81" s="158"/>
      <c r="L81" s="158"/>
      <c r="M81" s="158"/>
      <c r="N81" s="164"/>
      <c r="O81" s="164"/>
      <c r="P81" s="164"/>
      <c r="Q81" s="7"/>
      <c r="R81" s="7"/>
      <c r="S81" s="7"/>
      <c r="T81" s="7"/>
      <c r="U81" s="7"/>
      <c r="V81" s="7"/>
      <c r="W81" s="7"/>
      <c r="X81" s="7"/>
      <c r="Y81" s="7"/>
      <c r="Z81" s="7"/>
      <c r="AA81" s="7"/>
    </row>
    <row r="82">
      <c r="A82" s="158"/>
      <c r="B82" s="159" t="s">
        <v>846</v>
      </c>
      <c r="C82" s="161" t="s">
        <v>2564</v>
      </c>
      <c r="D82" s="161" t="s">
        <v>2610</v>
      </c>
      <c r="E82" s="162" t="s">
        <v>2612</v>
      </c>
      <c r="F82" t="inlineStr">
        <is>
          <t>200 OK:
{
  "success": true,
  "statusCode": 200,
  "data": {
    "cart": {
      "itemCount": "int",
      "subtotalAmount": "decimal"
    }
  },
  "traceId": "00-4bf92f3577b34da6a3ce929d0e0e4736-00f067aa0ba902b7-01",
  "timestamp": "2026-10-26T00:00:00Z"
}</t>
        </is>
      </c>
      <c r="G82" t="inlineStr">
        <is>
          <t>400 VAL_INVALID_INPUT: Cart item IDs must be provided.
401 UNAUTHORIZED: Token is missing, expired, or invalid.
404 CART_ITEM_NOT_FOUND: One or more cart items were not found.</t>
        </is>
      </c>
      <c r="H82" s="163"/>
      <c r="I82" s="159" t="s">
        <v>141</v>
      </c>
      <c r="J82" s="158"/>
      <c r="K82" s="158"/>
      <c r="L82" s="158"/>
      <c r="M82" s="158"/>
      <c r="N82" s="164"/>
      <c r="O82" s="164"/>
      <c r="P82" s="164"/>
      <c r="Q82" s="7"/>
      <c r="R82" s="7"/>
      <c r="S82" s="7"/>
      <c r="T82" s="7"/>
      <c r="U82" s="7"/>
      <c r="V82" s="7"/>
      <c r="W82" s="7"/>
      <c r="X82" s="7"/>
      <c r="Y82" s="7"/>
      <c r="Z82" s="7"/>
      <c r="AA82" s="7"/>
    </row>
    <row r="83">
      <c r="A83" s="158"/>
      <c r="B83" s="159" t="s">
        <v>846</v>
      </c>
      <c r="C83" s="161" t="s">
        <v>2622</v>
      </c>
      <c r="D83" s="161" t="s">
        <v>2623</v>
      </c>
      <c r="E83" s="165" t="s">
        <v>2624</v>
      </c>
      <c r="F83" t="inlineStr">
        <is>
          <t>200 OK:
{
  "success": true,
  "statusCode": 200,
  "data": {
    "removedCount": "int",
    "cart": {
      "itemCount": "int",
      "subtotalAmount": "decimal"
    }
  },
  "traceId": "00-4bf92f3577b34da6a3ce929d0e0e4736-00f067aa0ba902b7-01",
  "timestamp": "2026-10-26T00:00:00Z"
}</t>
        </is>
      </c>
      <c r="G83" t="inlineStr">
        <is>
          <t>401 UNAUTHORIZED: Token is missing, expired, or invalid.
404 CART_NOT_FOUND: User cart was not found.</t>
        </is>
      </c>
      <c r="H83" s="163"/>
      <c r="I83" s="159" t="s">
        <v>178</v>
      </c>
      <c r="J83" s="158"/>
      <c r="K83" s="158"/>
      <c r="L83" s="158"/>
      <c r="M83" s="158"/>
      <c r="N83" s="164"/>
      <c r="O83" s="164"/>
      <c r="P83" s="164"/>
      <c r="Q83" s="7"/>
      <c r="R83" s="7"/>
      <c r="S83" s="7"/>
      <c r="T83" s="7"/>
      <c r="U83" s="7"/>
      <c r="V83" s="7"/>
      <c r="W83" s="7"/>
      <c r="X83" s="7"/>
      <c r="Y83" s="7"/>
      <c r="Z83" s="7"/>
      <c r="AA83" s="7"/>
    </row>
    <row r="84">
      <c r="A84" s="158"/>
      <c r="B84" s="159" t="s">
        <v>810</v>
      </c>
      <c r="C84" s="161" t="s">
        <v>2632</v>
      </c>
      <c r="D84" s="161" t="s">
        <v>2635</v>
      </c>
      <c r="E84" s="162" t="s">
        <v>2637</v>
      </c>
      <c r="F84" t="inlineStr">
        <is>
          <t>200 OK:
{
  "success": true,
  "statusCode": 200,
  "data": {
    "items": [
      {
        "cartItemId": "uuid",
        "issues": [
          "PRICE_CHANGED|OUT_OF_STOCK|INACTIVE|SELLER_SUSPENDED|QTY_EXCEEDS_STOCK"
        ],
        "currentUnitPrice": "decimal",
        "availableQty": "int"
      }
    ],
    "pagination": {
      "pageIndex": 1,
      "pageSize": 20,
      "totalCount": 100,
      "totalPages": 5,
      "hasPreviousPage": false,
      "hasNextPage": true
    }
  },
  "traceId": "00-4bf92f3577b34da6a3ce929d0e0e4736-00f067aa0ba902b7-01",
  "timestamp": "2026-10-26T00:00:00Z"
}</t>
        </is>
      </c>
      <c r="G84" t="inlineStr">
        <is>
          <t>400 VAL_INVALID_INPUT: Cart item IDs are required.
401 UNAUTHORIZED: Token is missing, expired, or invalid.</t>
        </is>
      </c>
      <c r="H84" s="163"/>
      <c r="I84" s="169" t="s">
        <v>201</v>
      </c>
      <c r="J84" s="159" t="s">
        <v>793</v>
      </c>
      <c r="K84" s="158"/>
      <c r="L84" s="158"/>
      <c r="M84" s="158"/>
      <c r="N84" s="164"/>
      <c r="O84" s="164"/>
      <c r="P84" s="164"/>
      <c r="Q84" s="7"/>
      <c r="R84" s="7"/>
      <c r="S84" s="7"/>
      <c r="T84" s="7"/>
      <c r="U84" s="7"/>
      <c r="V84" s="7"/>
      <c r="W84" s="7"/>
      <c r="X84" s="7"/>
      <c r="Y84" s="7"/>
      <c r="Z84" s="7"/>
      <c r="AA84" s="7"/>
    </row>
    <row r="85">
      <c r="A85" s="158"/>
      <c r="B85" s="159" t="s">
        <v>53</v>
      </c>
      <c r="C85" s="161" t="s">
        <v>2654</v>
      </c>
      <c r="D85" s="161" t="s">
        <v>2656</v>
      </c>
      <c r="E85" s="165" t="s">
        <v>2661</v>
      </c>
      <c r="F85" t="inlineStr">
        <is>
          <t>200 OK:
{
  "success": true,
  "statusCode": 200,
  "data": {
    "orders": [
      {
        "sellerId": "uuid",
        "items": "array",
        "itemsAmount": "decimal",
        "productDiscountAmount": "decimal",
        "shopDiscountAmount": "decimal",
        "platformMarkupAmount": "decimal",
        "systemDiscountAmount": "decimal",
        "shippingFeeAmount": "decimal",
        "totalAmount": "decimal",
        "shippingOptions": [
          {
            "fee": "decimal",
            "serviceType": "Standard|Express|SameDay",
            "estimatedDeliveryAt": "datetime"
          }
        ],
        "quoteId": "string"
      }
    ],
    "grandTotal": "decimal",
    "appliedVouchers": "array",
    "invalidVouchers": [
      {
        "code": "string",
        "reason": "string"
      }
    ],
    "walletBalance": "decimal",
    "warnings": [
      "SHIPPING_QUOTE_UNAVAILABLE"
    ]
  },
  "traceId": "00-4bf92f3577b34da6a3ce929d0e0e4736-00f067aa0ba902b7-01",
  "timestamp": "2026-10-26T00:00:00Z"
}</t>
        </is>
      </c>
      <c r="G85" t="inlineStr">
        <is>
          <t>400 VAL_INVALID_ADDRESS: Shipping address is incomplete.
400 CART_EMPTY: No valid items selected for checkout.
401 UNAUTHORIZED: Token is missing, expired, or invalid.
404 VOUCHER_INVALID: One or more vouchers are invalid or expired.</t>
        </is>
      </c>
      <c r="H85" s="163"/>
      <c r="I85" s="159" t="s">
        <v>2666</v>
      </c>
      <c r="J85" s="159" t="s">
        <v>232</v>
      </c>
      <c r="K85" s="159" t="s">
        <v>793</v>
      </c>
      <c r="L85" s="158"/>
      <c r="M85" s="158"/>
      <c r="N85" s="164"/>
      <c r="O85" s="164"/>
      <c r="P85" s="164"/>
      <c r="Q85" s="7"/>
      <c r="R85" s="7"/>
      <c r="S85" s="7"/>
      <c r="T85" s="7"/>
      <c r="U85" s="7"/>
      <c r="V85" s="7"/>
      <c r="W85" s="7"/>
      <c r="X85" s="7"/>
      <c r="Y85" s="7"/>
      <c r="Z85" s="7"/>
      <c r="AA85" s="7"/>
    </row>
    <row r="86">
      <c r="A86" s="158"/>
      <c r="B86" s="159" t="s">
        <v>53</v>
      </c>
      <c r="C86" s="161" t="s">
        <v>1500</v>
      </c>
      <c r="D86" s="161" t="s">
        <v>1502</v>
      </c>
      <c r="E86" s="161" t="s">
        <v>1504</v>
      </c>
      <c r="F86" t="inlineStr">
        <is>
          <t>201 Created:
{
  "success": true,
  "statusCode": 201,
  "data": {
    "orderId": "uuid",
    "orderNo": "ORD-20261026-0001",
    "totalAmount": 480000,
    "status": "PENDING_PAYMENT",
    "paymentDeadlineAt": "2026-10-26T02:00:00Z",
    "paymentUrl": null,
    "subOrderIds": [
      "uuid"
    ],
    "createdAt": "2026-10-26T00:00:00Z"
  },
  "traceId": "00-4bf92f3577b34da6a3ce929d0e0e4736-00f067aa0ba902b7-01",
  "timestamp": "2026-10-26T00:00:00Z"
}</t>
        </is>
      </c>
      <c r="G86" t="inlineStr">
        <is>
          <t>400 VAL_INVALID_INPUT: Shipping address and phone number are required.
400 QUOTE_EXPIRED: Checkout quote has expired.
401 UNAUTHORIZED: Token is missing, expired, or invalid.
409 IDEMPOTENCY_CONFLICT: Request with this Idempotency-Key is already processed.</t>
        </is>
      </c>
      <c r="H86" s="170"/>
      <c r="I86" s="159" t="s">
        <v>413</v>
      </c>
      <c r="J86" s="159" t="s">
        <v>1101</v>
      </c>
      <c r="K86" s="159" t="s">
        <v>201</v>
      </c>
      <c r="L86" s="171" t="s">
        <v>232</v>
      </c>
      <c r="M86" s="159" t="s">
        <v>1043</v>
      </c>
      <c r="N86" s="172" t="s">
        <v>1070</v>
      </c>
      <c r="O86" s="172" t="s">
        <v>1515</v>
      </c>
      <c r="P86" s="173"/>
      <c r="Q86" s="7"/>
      <c r="R86" s="7"/>
      <c r="S86" s="7"/>
      <c r="T86" s="7"/>
      <c r="U86" s="7"/>
      <c r="V86" s="7"/>
      <c r="W86" s="7"/>
      <c r="X86" s="7"/>
      <c r="Y86" s="7"/>
      <c r="Z86" s="7"/>
      <c r="AA86" s="7"/>
    </row>
    <row r="87">
      <c r="A87" s="158"/>
      <c r="B87" s="159" t="s">
        <v>810</v>
      </c>
      <c r="C87" s="161" t="s">
        <v>1523</v>
      </c>
      <c r="D87" s="161" t="s">
        <v>1524</v>
      </c>
      <c r="E87" s="174"/>
      <c r="F87" t="inlineStr">
        <is>
          <t>200 OK:
{
  "success": true,
  "statusCode": 200,
  "data": {
    "orderId": "uuid",
    "orderNo": "ORD-20261026-0001",
    "buyerId": "uuid",
    "status": "PENDING_PAYMENT",
    "totalAmount": 480000,
    "paymentMethod": "WALLET",
    "shippingAddress": "123 Le Loi, Ben Nghe, Quan 1, TP.HCM",
    "contactPhone": "0901234567",
    "subOrders": [
      {
        "subOrderId": "uuid",
        "subOrderNo": "SUB-20261026-0001",
        "sellerId": "uuid",
        "shopName": "Shop Cong Nghe",
        "status": "PENDING_PAYMENT",
        "itemsAmount": 500000,
        "shippingFee": 30000,
        "discountAmount": 50000,
        "totalAmount": 480000,
        "items": [
          {
            "orderItemId": "uuid",
            "productId": "uuid",
            "skuId": "uuid",
            "productName": "Chuot gaming khong day",
            "skuCode": "MOUSE-WL-01",
            "imageUrl": "https://img.example.com/mouse.png",
            "quantity": 1,
            "unitPrice": 500000,
            "lineTotal": 500000
          }
        ]
      }
    ],
    "createdAt": "2026-10-26T00:00:00Z"
  },
  "traceId": "00-4bf92f3577b34da6a3ce929d0e0e4736-00f067aa0ba902b7-01",
  "timestamp": "2026-10-26T00:00:00Z"
}</t>
        </is>
      </c>
      <c r="G87" t="inlineStr">
        <is>
          <t>401 UNAUTHORIZED: Token is missing, expired, or invalid.
403 FORBIDDEN: You do not have permission to view this order.
404 ORDER_NOT_FOUND: Order does not exist or has been deleted.</t>
        </is>
      </c>
      <c r="H87" s="163"/>
      <c r="I87" s="159" t="s">
        <v>708</v>
      </c>
      <c r="J87" s="159" t="s">
        <v>1527</v>
      </c>
      <c r="K87" s="159" t="s">
        <v>497</v>
      </c>
      <c r="L87" s="158"/>
      <c r="M87" s="158"/>
      <c r="N87" s="164"/>
      <c r="O87" s="164"/>
      <c r="P87" s="164"/>
      <c r="Q87" s="7"/>
      <c r="R87" s="7"/>
      <c r="S87" s="7"/>
      <c r="T87" s="7"/>
      <c r="U87" s="7"/>
      <c r="V87" s="7"/>
      <c r="W87" s="7"/>
      <c r="X87" s="7"/>
      <c r="Y87" s="7"/>
      <c r="Z87" s="7"/>
      <c r="AA87" s="7"/>
    </row>
    <row r="88">
      <c r="A88" s="158"/>
      <c r="B88" s="159" t="s">
        <v>810</v>
      </c>
      <c r="C88" s="161" t="s">
        <v>1531</v>
      </c>
      <c r="D88" s="161" t="s">
        <v>1533</v>
      </c>
      <c r="E88" s="174"/>
      <c r="F88" t="inlineStr">
        <is>
          <t>200 OK:
{
  "success": true,
  "statusCode": 200,
  "data": {
    "items": [
      {
        "orderItemId": "uuid",
        "productId": "uuid",
        "skuId": "uuid",
        "productName": "Chuot gaming khong day",
        "skuCode": "MOUSE-WL-01",
        "quantity": 1,
        "unitPrice": 500000,
        "lineTotal": 500000
      }
    ],
    "pagination": {
      "pageIndex": 1,
      "pageSize": 20,
      "totalCount": 100,
      "totalPages": 5,
      "hasPreviousPage": false,
      "hasNextPage": true
    }
  },
  "traceId": "00-4bf92f3577b34da6a3ce929d0e0e4736-00f067aa0ba902b7-01",
  "timestamp": "2026-10-26T00:00:00Z"
}</t>
        </is>
      </c>
      <c r="G88" t="inlineStr">
        <is>
          <t>401 UNAUTHORIZED: Token is missing, expired, or invalid.
403 FORBIDDEN: You do not have permission to view this sub-order.
404 SUB_ORDER_NOT_FOUND: Sub-order was not found.</t>
        </is>
      </c>
      <c r="H88" s="163"/>
      <c r="I88" s="159" t="s">
        <v>708</v>
      </c>
      <c r="J88" s="175"/>
      <c r="K88" s="175"/>
      <c r="L88" s="175"/>
      <c r="M88" s="158"/>
      <c r="N88" s="164"/>
      <c r="O88" s="164"/>
      <c r="P88" s="164"/>
      <c r="Q88" s="7"/>
      <c r="R88" s="7"/>
      <c r="S88" s="7"/>
      <c r="T88" s="7"/>
      <c r="U88" s="7"/>
      <c r="V88" s="7"/>
      <c r="W88" s="7"/>
      <c r="X88" s="7"/>
      <c r="Y88" s="7"/>
      <c r="Z88" s="7"/>
      <c r="AA88" s="7"/>
    </row>
    <row r="89">
      <c r="A89" s="158"/>
      <c r="B89" s="159" t="s">
        <v>53</v>
      </c>
      <c r="C89" s="161" t="s">
        <v>1551</v>
      </c>
      <c r="D89" s="161" t="s">
        <v>1553</v>
      </c>
      <c r="E89" s="161" t="s">
        <v>1557</v>
      </c>
      <c r="F89" t="inlineStr">
        <is>
          <t>200 OK:
{
  "success": true,
  "statusCode": 200,
  "message": "Order has been successfully cancelled.",
  "data": {
    "orderId": "uuid",
    "status": "CANCELLED",
    "cancelledAt": "2026-10-26T00:00:00Z"
  },
  "traceId": "00-4bf92f3577b34da6a3ce929d0e0e4736-00f067aa0ba902b7-01",
  "timestamp": "2026-10-26T00:00:00Z"
}</t>
        </is>
      </c>
      <c r="G89" t="inlineStr">
        <is>
          <t>400 ORDER_CANNOT_BE_CANCELLED: Order cannot be cancelled in its current state.
401 UNAUTHORIZED: Token is missing, expired, or invalid.
403 FORBIDDEN: You do not have permission to cancel this order.
404 ORDER_NOT_FOUND: Order does not exist or has been deleted.</t>
        </is>
      </c>
      <c r="H89" s="170"/>
      <c r="I89" s="159" t="s">
        <v>522</v>
      </c>
      <c r="J89" s="159" t="s">
        <v>1561</v>
      </c>
      <c r="K89" s="158"/>
      <c r="L89" s="158"/>
      <c r="M89" s="158"/>
      <c r="N89" s="164"/>
      <c r="O89" s="164"/>
      <c r="P89" s="164"/>
      <c r="Q89" s="7"/>
      <c r="R89" s="7"/>
      <c r="S89" s="7"/>
      <c r="T89" s="7"/>
      <c r="U89" s="7"/>
      <c r="V89" s="7"/>
      <c r="W89" s="7"/>
      <c r="X89" s="7"/>
      <c r="Y89" s="7"/>
      <c r="Z89" s="7"/>
      <c r="AA89" s="7"/>
    </row>
    <row r="90">
      <c r="A90" s="158"/>
      <c r="B90" s="159" t="s">
        <v>53</v>
      </c>
      <c r="C90" s="161" t="s">
        <v>1567</v>
      </c>
      <c r="D90" s="161" t="s">
        <v>1569</v>
      </c>
      <c r="E90" s="161" t="s">
        <v>1572</v>
      </c>
      <c r="F90" t="inlineStr">
        <is>
          <t>200 OK:
{
  "success": true,
  "statusCode": 200,
  "message": "Payment webhook processed successfully.",
  "data": {
    "success": true
  },
  "traceId": "00-4bf92f3577b34da6a3ce929d0e0e4736-00f067aa0ba902b7-01",
  "timestamp": "2026-10-26T00:00:00Z"
}</t>
        </is>
      </c>
      <c r="G90" t="inlineStr">
        <is>
          <t>400 INVALID_SIGNATURE: Invalid webhook signature.
404 ORDER_NOT_FOUND: Order not found.</t>
        </is>
      </c>
      <c r="H90" s="163"/>
      <c r="I90" s="176"/>
      <c r="J90" s="159" t="s">
        <v>1576</v>
      </c>
      <c r="K90" s="159" t="s">
        <v>1578</v>
      </c>
      <c r="L90" s="80" t="s">
        <v>1580</v>
      </c>
      <c r="M90" s="80" t="s">
        <v>1584</v>
      </c>
      <c r="N90" s="172" t="s">
        <v>1586</v>
      </c>
      <c r="O90" s="172" t="s">
        <v>1589</v>
      </c>
      <c r="P90" s="172" t="s">
        <v>1595</v>
      </c>
      <c r="Q90" s="7"/>
      <c r="R90" s="7"/>
      <c r="S90" s="7"/>
      <c r="T90" s="7"/>
      <c r="U90" s="7"/>
      <c r="V90" s="7"/>
      <c r="W90" s="7"/>
      <c r="X90" s="7"/>
      <c r="Y90" s="7"/>
      <c r="Z90" s="7"/>
      <c r="AA90" s="7"/>
    </row>
    <row r="91">
      <c r="A91" s="158"/>
      <c r="B91" s="175"/>
      <c r="C91" s="161" t="s">
        <v>1596</v>
      </c>
      <c r="D91" s="161" t="s">
        <v>1598</v>
      </c>
      <c r="E91" s="177"/>
      <c r="F91" s="174"/>
      <c r="G91" s="174"/>
      <c r="H91" s="163"/>
      <c r="I91" s="178" t="s">
        <v>2687</v>
      </c>
      <c r="J91" s="159" t="s">
        <v>1604</v>
      </c>
      <c r="K91" s="159" t="s">
        <v>1607</v>
      </c>
      <c r="L91" s="159" t="s">
        <v>1611</v>
      </c>
      <c r="M91" s="159" t="s">
        <v>1614</v>
      </c>
      <c r="N91" s="164"/>
      <c r="O91" s="164"/>
      <c r="P91" s="164"/>
      <c r="Q91" s="7"/>
      <c r="R91" s="7"/>
      <c r="S91" s="7"/>
      <c r="T91" s="7"/>
      <c r="U91" s="7"/>
      <c r="V91" s="7"/>
      <c r="W91" s="7"/>
      <c r="X91" s="7"/>
      <c r="Y91" s="7"/>
      <c r="Z91" s="7"/>
      <c r="AA91" s="7"/>
    </row>
    <row r="92">
      <c r="A92" s="158"/>
      <c r="B92" s="159" t="s">
        <v>53</v>
      </c>
      <c r="C92" s="161" t="s">
        <v>1621</v>
      </c>
      <c r="D92" s="161" t="s">
        <v>1622</v>
      </c>
      <c r="E92" s="161" t="s">
        <v>1625</v>
      </c>
      <c r="F92" t="inlineStr">
        <is>
          <t>200 OK:
{
  "success": true,
  "statusCode": 200,
  "data": {
    "subOrderId": "uuid",
    "status": "SELLER_ACCEPTED",
    "acceptedAt": "2026-10-26T00:00:00Z"
  },
  "traceId": "00-4bf92f3577b34da6a3ce929d0e0e4736-00f067aa0ba902b7-01",
  "timestamp": "2026-10-26T00:00:00Z"
}</t>
        </is>
      </c>
      <c r="G92" t="inlineStr">
        <is>
          <t>400 INVALID_ORDER_STATUS: Order cannot be accepted in its current status.
401 UNAUTHORIZED: Token is missing, expired, or invalid.
403 FORBIDDEN: Only the seller of this sub-order can accept it.
404 SUB_ORDER_NOT_FOUND: Sub-order was not found.</t>
        </is>
      </c>
      <c r="H92" s="163"/>
      <c r="I92" s="159" t="s">
        <v>1627</v>
      </c>
      <c r="J92" s="172" t="s">
        <v>1630</v>
      </c>
      <c r="K92" s="159" t="s">
        <v>1632</v>
      </c>
      <c r="L92" s="159" t="s">
        <v>1635</v>
      </c>
      <c r="M92" s="159" t="s">
        <v>1637</v>
      </c>
      <c r="N92" s="164"/>
      <c r="O92" s="164"/>
      <c r="P92" s="164"/>
      <c r="Q92" s="7"/>
      <c r="R92" s="7"/>
      <c r="S92" s="7"/>
      <c r="T92" s="7"/>
      <c r="U92" s="7"/>
      <c r="V92" s="7"/>
      <c r="W92" s="7"/>
      <c r="X92" s="7"/>
      <c r="Y92" s="7"/>
      <c r="Z92" s="7"/>
      <c r="AA92" s="7"/>
    </row>
    <row r="93">
      <c r="A93" s="158"/>
      <c r="B93" s="159" t="s">
        <v>53</v>
      </c>
      <c r="C93" s="161" t="s">
        <v>1640</v>
      </c>
      <c r="D93" s="161" t="s">
        <v>1641</v>
      </c>
      <c r="E93" s="161" t="s">
        <v>1643</v>
      </c>
      <c r="F93" t="inlineStr">
        <is>
          <t>200 OK:
{
  "success": true,
  "statusCode": 200,
  "data": {
    "subOrderId": "uuid",
    "status": "REJECTED",
    "rejectedAt": "2026-10-26T00:00:00Z"
  },
  "traceId": "00-4bf92f3577b34da6a3ce929d0e0e4736-00f067aa0ba902b7-01",
  "timestamp": "2026-10-26T00:00:00Z"
}</t>
        </is>
      </c>
      <c r="G93" t="inlineStr">
        <is>
          <t>400 INVALID_ORDER_STATUS: Order cannot be rejected in its current status.
401 UNAUTHORIZED: Token is missing, expired, or invalid.
403 FORBIDDEN: Only the seller of this sub-order can reject it.
404 SUB_ORDER_NOT_FOUND: Sub-order was not found.</t>
        </is>
      </c>
      <c r="H93" s="163"/>
      <c r="I93" s="159" t="s">
        <v>1645</v>
      </c>
      <c r="J93" s="172" t="s">
        <v>1647</v>
      </c>
      <c r="K93" s="159" t="s">
        <v>1561</v>
      </c>
      <c r="L93" s="159" t="s">
        <v>1648</v>
      </c>
      <c r="M93" s="178" t="s">
        <v>2688</v>
      </c>
      <c r="N93" s="159" t="s">
        <v>1635</v>
      </c>
      <c r="O93" s="159" t="s">
        <v>1652</v>
      </c>
      <c r="P93" s="175"/>
      <c r="Q93" s="7"/>
      <c r="R93" s="7"/>
      <c r="S93" s="7"/>
      <c r="T93" s="7"/>
      <c r="U93" s="7"/>
      <c r="V93" s="7"/>
      <c r="W93" s="7"/>
      <c r="X93" s="7"/>
      <c r="Y93" s="7"/>
      <c r="Z93" s="7"/>
      <c r="AA93" s="7"/>
    </row>
    <row r="94">
      <c r="A94" s="158"/>
      <c r="B94" s="175"/>
      <c r="C94" s="161" t="s">
        <v>1596</v>
      </c>
      <c r="D94" s="161" t="s">
        <v>1655</v>
      </c>
      <c r="E94" s="174"/>
      <c r="F94" s="174"/>
      <c r="G94" s="174"/>
      <c r="H94" s="163"/>
      <c r="I94" s="159" t="s">
        <v>1656</v>
      </c>
      <c r="J94" s="159" t="s">
        <v>1658</v>
      </c>
      <c r="K94" s="159" t="s">
        <v>1561</v>
      </c>
      <c r="L94" s="159" t="s">
        <v>1648</v>
      </c>
      <c r="M94" s="159" t="s">
        <v>1662</v>
      </c>
      <c r="N94" s="164"/>
      <c r="O94" s="164"/>
      <c r="P94" s="164"/>
      <c r="Q94" s="7"/>
      <c r="R94" s="7"/>
      <c r="S94" s="7"/>
      <c r="T94" s="7"/>
      <c r="U94" s="7"/>
      <c r="V94" s="7"/>
      <c r="W94" s="7"/>
      <c r="X94" s="7"/>
      <c r="Y94" s="7"/>
      <c r="Z94" s="7"/>
      <c r="AA94" s="7"/>
    </row>
    <row r="95">
      <c r="A95" s="158"/>
      <c r="B95" s="159" t="s">
        <v>810</v>
      </c>
      <c r="C95" s="161" t="s">
        <v>1666</v>
      </c>
      <c r="D95" s="161" t="s">
        <v>1667</v>
      </c>
      <c r="E95" s="174"/>
      <c r="F95" t="inlineStr">
        <is>
          <t>200 OK:
{
  "success": true,
  "statusCode": 200,
  "data": {
    "shipmentId": "uuid",
    "orderId": "uuid",
    "subOrderId": "uuid",
    "carrierName": "GHN",
    "trackingNumber": "GHN1029384756",
    "status": "IN_TRANSIT",
    "shippingFee": 30000,
    "codAmount": 0,
    "receiverName": "Nguyen Van A",
    "receiverPhone": "0901234567",
    "receiverAddress": "123 Le Loi, Ben Nghe, Quan 1, TP.HCM",
    "events": [
      {
        "status": "PICKED_UP",
        "location": "Kho Tan Binh",
        "description": "Shipper picked up parcel from seller.",
        "eventAt": "2026-10-26T08:00:00Z"
      },
      {
        "status": "IN_TRANSIT",
        "location": "Kho HN SOC",
        "description": "Parcel is in transit to distribution hub.",
        "eventAt": "2026-10-26T12:00:00Z"
      }
    ],
    "estimatedDeliveryAt": "2026-10-28T18:00:00Z",
    "createdAt": "2026-10-26T00:00:00Z"
  },
  "traceId": "00-4bf92f3577b34da6a3ce929d0e0e4736-00f067aa0ba902b7-01",
  "timestamp": "2026-10-26T00:00:00Z"
}</t>
        </is>
      </c>
      <c r="G95" t="inlineStr">
        <is>
          <t>401 UNAUTHORIZED: Token is missing, expired, or invalid.
404 SHIPMENT_NOT_FOUND: Shipment not found with the provided identifier.</t>
        </is>
      </c>
      <c r="H95" s="163"/>
      <c r="I95" s="159" t="s">
        <v>1669</v>
      </c>
      <c r="J95" s="175"/>
      <c r="K95" s="175"/>
      <c r="L95" s="175"/>
      <c r="M95" s="158"/>
      <c r="N95" s="164"/>
      <c r="O95" s="164"/>
      <c r="P95" s="164"/>
      <c r="Q95" s="7"/>
      <c r="R95" s="7"/>
      <c r="S95" s="7"/>
      <c r="T95" s="7"/>
      <c r="U95" s="7"/>
      <c r="V95" s="7"/>
      <c r="W95" s="7"/>
      <c r="X95" s="7"/>
      <c r="Y95" s="7"/>
      <c r="Z95" s="7"/>
      <c r="AA95" s="7"/>
    </row>
    <row r="96">
      <c r="A96" s="158"/>
      <c r="B96" s="159" t="s">
        <v>810</v>
      </c>
      <c r="C96" s="161" t="s">
        <v>1670</v>
      </c>
      <c r="D96" s="161" t="s">
        <v>1671</v>
      </c>
      <c r="E96" s="174"/>
      <c r="F96" t="inlineStr">
        <is>
          <t>200 OK:
{
  "success": true,
  "statusCode": 200,
  "data": {
    "orderId": "uuid",
    "shipments": [
      {
        "shipmentId": "uuid",
        "subOrderId": "uuid",
        "carrierName": "GHN",
        "trackingNumber": "GHN1029384756",
        "status": "IN_TRANSIT",
        "shippingFee": 30000,
        "estimatedDeliveryAt": "2026-10-28T18:00:00Z"
      }
    ]
  },
  "traceId": "00-4bf92f3577b34da6a3ce929d0e0e4736-00f067aa0ba902b7-01",
  "timestamp": "2026-10-26T00:00:00Z"
}</t>
        </is>
      </c>
      <c r="G96" t="inlineStr">
        <is>
          <t>401 UNAUTHORIZED: Token is missing, expired, or invalid.
404 ORDER_NOT_FOUND: Order was not found.</t>
        </is>
      </c>
      <c r="H96" s="163"/>
      <c r="I96" s="159" t="s">
        <v>1672</v>
      </c>
      <c r="J96" s="159" t="s">
        <v>1527</v>
      </c>
      <c r="K96" s="159" t="s">
        <v>1674</v>
      </c>
      <c r="L96" s="175"/>
      <c r="M96" s="158"/>
      <c r="N96" s="164"/>
      <c r="O96" s="164"/>
      <c r="P96" s="164"/>
      <c r="Q96" s="7"/>
      <c r="R96" s="7"/>
      <c r="S96" s="7"/>
      <c r="T96" s="7"/>
      <c r="U96" s="7"/>
      <c r="V96" s="7"/>
      <c r="W96" s="7"/>
      <c r="X96" s="7"/>
      <c r="Y96" s="7"/>
      <c r="Z96" s="7"/>
      <c r="AA96" s="7"/>
    </row>
    <row r="97">
      <c r="A97" s="158"/>
      <c r="B97" s="159" t="s">
        <v>810</v>
      </c>
      <c r="C97" s="161" t="s">
        <v>1677</v>
      </c>
      <c r="D97" s="161" t="s">
        <v>1679</v>
      </c>
      <c r="E97" s="161" t="s">
        <v>1681</v>
      </c>
      <c r="F97" t="inlineStr">
        <is>
          <t>200 OK:
{
  "success": true,
  "statusCode": 200,
  "data": {
    "items": [
      {
        "shipmentId": "uuid",
        "subOrderId": "uuid",
        "trackingNumber": "GHN1029384756",
        "carrierName": "GHN",
        "status": "READY_TO_SHIP",
        "shippingFee": 30000,
        "receiverName": "Nguyen Van A",
        "receiverPhone": "0901234567",
        "createdAt": "2026-10-26T00:00:00Z"
      }
    ],
    "pagination": {
      "pageIndex": 1,
      "pageSize": 20,
      "totalCount": 100,
      "totalPages": 5,
      "hasPreviousPage": false,
      "hasNextPage": true
    }
  },
  "traceId": "00-4bf92f3577b34da6a3ce929d0e0e4736-00f067aa0ba902b7-01",
  "timestamp": "2026-10-26T00:00:00Z"
}</t>
        </is>
      </c>
      <c r="G97" t="inlineStr">
        <is>
          <t>401 UNAUTHORIZED: Token is missing, expired, or invalid.
403 FORBIDDEN: Only sellers can access shipment management.</t>
        </is>
      </c>
      <c r="H97" s="163"/>
      <c r="I97" s="7"/>
      <c r="J97" s="179" t="s">
        <v>1527</v>
      </c>
      <c r="K97" s="175"/>
      <c r="L97" s="175"/>
      <c r="M97" s="158"/>
      <c r="N97" s="164"/>
      <c r="O97" s="164"/>
      <c r="P97" s="164"/>
      <c r="Q97" s="7"/>
      <c r="R97" s="7"/>
      <c r="S97" s="7"/>
      <c r="T97" s="7"/>
      <c r="U97" s="7"/>
      <c r="V97" s="7"/>
      <c r="W97" s="7"/>
      <c r="X97" s="7"/>
      <c r="Y97" s="7"/>
      <c r="Z97" s="7"/>
      <c r="AA97" s="7"/>
    </row>
    <row r="98">
      <c r="A98" s="158"/>
      <c r="B98" s="159" t="s">
        <v>810</v>
      </c>
      <c r="C98" s="161" t="s">
        <v>1687</v>
      </c>
      <c r="D98" s="161" t="s">
        <v>1688</v>
      </c>
      <c r="E98" s="161" t="s">
        <v>1689</v>
      </c>
      <c r="F98" t="inlineStr">
        <is>
          <t>200 OK:
{
  "success": true,
  "statusCode": 200,
  "data": {
    "items": [
      {
        "shipmentId": "uuid",
        "trackingNumber": "GHN1029384756",
        "subOrderId": "uuid",
        "carrierName": "GHN",
        "status": "IN_TRANSIT",
        "receiverName": "Nguyen Van A",
        "createdAt": "2026-10-26T00:00:00Z"
      }
    ],
    "pagination": {
      "pageIndex": 1,
      "pageSize": 20,
      "totalCount": 100,
      "totalPages": 5,
      "hasPreviousPage": false,
      "hasNextPage": true
    }
  },
  "traceId": "00-4bf92f3577b34da6a3ce929d0e0e4736-00f067aa0ba902b7-01",
  "timestamp": "2026-10-26T00:00:00Z"
}</t>
        </is>
      </c>
      <c r="G98" t="inlineStr">
        <is>
          <t>400 VAL_INVALID_INPUT: Query parameters are invalid.
401 UNAUTHORIZED: Token is missing, expired, or invalid.
403 FORBIDDEN: Only sellers can access shipment management.</t>
        </is>
      </c>
      <c r="H98" s="163"/>
      <c r="I98" s="159" t="s">
        <v>1527</v>
      </c>
      <c r="J98" s="175"/>
      <c r="K98" s="175"/>
      <c r="L98" s="175"/>
      <c r="M98" s="158"/>
      <c r="N98" s="164"/>
      <c r="O98" s="164"/>
      <c r="P98" s="164"/>
      <c r="Q98" s="7"/>
      <c r="R98" s="7"/>
      <c r="S98" s="7"/>
      <c r="T98" s="7"/>
      <c r="U98" s="7"/>
      <c r="V98" s="7"/>
      <c r="W98" s="7"/>
      <c r="X98" s="7"/>
      <c r="Y98" s="7"/>
      <c r="Z98" s="7"/>
      <c r="AA98" s="7"/>
    </row>
    <row r="99">
      <c r="A99" s="158"/>
      <c r="B99" s="159" t="s">
        <v>810</v>
      </c>
      <c r="C99" s="161" t="s">
        <v>1690</v>
      </c>
      <c r="D99" s="161" t="s">
        <v>1691</v>
      </c>
      <c r="E99" s="174"/>
      <c r="F99" t="inlineStr">
        <is>
          <t>200 OK:
{
  "success": true,
  "statusCode": 200,
  "data": {
    "items": [
      {
        "skuId": "uuid",
        "productName": "Chuot gaming khong day",
        "quantity": 1
      }
    ],
    "pagination": {
      "pageIndex": 1,
      "pageSize": 20,
      "totalCount": 100,
      "totalPages": 5,
      "hasPreviousPage": false,
      "hasNextPage": true
    }
  },
  "traceId": "00-4bf92f3577b34da6a3ce929d0e0e4736-00f067aa0ba902b7-01",
  "timestamp": "2026-10-26T00:00:00Z"
}</t>
        </is>
      </c>
      <c r="G99" t="inlineStr">
        <is>
          <t>401 UNAUTHORIZED: Token is missing, expired, or invalid.
403 FORBIDDEN: You do not have permission to view this shipment.
404 SHIPMENT_NOT_FOUND: Shipment not found.</t>
        </is>
      </c>
      <c r="H99" s="163"/>
      <c r="I99" s="159" t="s">
        <v>1693</v>
      </c>
      <c r="J99" s="175"/>
      <c r="K99" s="175"/>
      <c r="L99" s="175"/>
      <c r="M99" s="158"/>
      <c r="N99" s="164"/>
      <c r="O99" s="164"/>
      <c r="P99" s="164"/>
      <c r="Q99" s="7"/>
      <c r="R99" s="7"/>
      <c r="S99" s="7"/>
      <c r="T99" s="7"/>
      <c r="U99" s="7"/>
      <c r="V99" s="7"/>
      <c r="W99" s="7"/>
      <c r="X99" s="7"/>
      <c r="Y99" s="7"/>
      <c r="Z99" s="7"/>
      <c r="AA99" s="7"/>
    </row>
    <row r="100">
      <c r="A100" s="158"/>
      <c r="B100" s="159" t="s">
        <v>644</v>
      </c>
      <c r="C100" s="161" t="s">
        <v>1696</v>
      </c>
      <c r="D100" s="161" t="s">
        <v>1697</v>
      </c>
      <c r="E100" s="161" t="s">
        <v>1699</v>
      </c>
      <c r="F100" t="inlineStr">
        <is>
          <t>200 OK:
{
  "success": true,
  "statusCode": 200,
  "data": {
    "shipmentId": "uuid",
    "trackingNumber": "GHN1029384756",
    "currentStatus": "OUT_FOR_DELIVERY",
    "updatedAt": "2026-10-26T14:00:00Z"
  },
  "traceId": "00-4bf92f3577b34da6a3ce929d0e0e4736-00f067aa0ba902b7-01",
  "timestamp": "2026-10-26T00:00:00Z"
}</t>
        </is>
      </c>
      <c r="G100" t="inlineStr">
        <is>
          <t>400 INVALID_SHIPMENT_STATUS: Shipment status transition is not permitted.
401 UNAUTHORIZED: Token is missing, expired, or invalid.
404 SHIPMENT_NOT_FOUND: Shipment not found with the provided identifier.</t>
        </is>
      </c>
      <c r="H100" s="163"/>
      <c r="I100" s="159" t="s">
        <v>1700</v>
      </c>
      <c r="J100" s="175"/>
      <c r="K100" s="175"/>
      <c r="L100" s="175"/>
      <c r="M100" s="158"/>
      <c r="N100" s="164"/>
      <c r="O100" s="164"/>
      <c r="P100" s="164"/>
      <c r="Q100" s="7"/>
      <c r="R100" s="7"/>
      <c r="S100" s="7"/>
      <c r="T100" s="7"/>
      <c r="U100" s="7"/>
      <c r="V100" s="7"/>
      <c r="W100" s="7"/>
      <c r="X100" s="7"/>
      <c r="Y100" s="7"/>
      <c r="Z100" s="7"/>
      <c r="AA100" s="7"/>
    </row>
    <row r="101">
      <c r="A101" s="158"/>
      <c r="B101" s="159" t="s">
        <v>53</v>
      </c>
      <c r="C101" s="161" t="s">
        <v>1701</v>
      </c>
      <c r="D101" s="161" t="s">
        <v>1702</v>
      </c>
      <c r="E101" s="161" t="s">
        <v>1703</v>
      </c>
      <c r="F101" t="inlineStr">
        <is>
          <t>201 Created:
{
  "success": true,
  "statusCode": 201,
  "data": {
    "reviewId": "uuid",
    "orderId": "uuid",
    "productId": "uuid",
    "rating": 5,
    "comment": "San pham rat tot, dong goi ky.",
    "createdAt": "2026-10-26T00:00:00Z"
  },
  "traceId": "00-4bf92f3577b34da6a3ce929d0e0e4736-00f067aa0ba902b7-01",
  "timestamp": "2026-10-26T00:00:00Z"
}</t>
        </is>
      </c>
      <c r="G101" t="inlineStr">
        <is>
          <t>400 VAL_INVALID_RATING: Rating must be an integer between 1 and 5.
400 ORDER_NOT_COMPLETED: Reviews can only be submitted for completed orders.
401 UNAUTHORIZED: Token is missing, expired, or invalid.
409 REVIEW_ALREADY_EXISTS: You have already reviewed this product.</t>
        </is>
      </c>
      <c r="H101" s="163"/>
      <c r="I101" s="178" t="s">
        <v>2689</v>
      </c>
      <c r="J101" s="159" t="s">
        <v>1705</v>
      </c>
      <c r="K101" s="159" t="s">
        <v>1706</v>
      </c>
      <c r="L101" s="159" t="s">
        <v>1708</v>
      </c>
      <c r="M101" s="158"/>
      <c r="N101" s="164"/>
      <c r="O101" s="164"/>
      <c r="P101" s="164"/>
      <c r="Q101" s="7"/>
      <c r="R101" s="7"/>
      <c r="S101" s="7"/>
      <c r="T101" s="7"/>
      <c r="U101" s="7"/>
      <c r="V101" s="7"/>
      <c r="W101" s="7"/>
      <c r="X101" s="7"/>
      <c r="Y101" s="7"/>
      <c r="Z101" s="7"/>
      <c r="AA101" s="7"/>
    </row>
    <row r="102">
      <c r="A102" s="158"/>
      <c r="B102" s="159" t="s">
        <v>53</v>
      </c>
      <c r="C102" s="161" t="s">
        <v>1710</v>
      </c>
      <c r="D102" s="161" t="s">
        <v>1711</v>
      </c>
      <c r="E102" s="161" t="s">
        <v>1712</v>
      </c>
      <c r="F102" t="inlineStr">
        <is>
          <t>201 Created:
{
  "success": true,
  "statusCode": 201,
  "data": {
    "feedbackId": "uuid",
    "orderId": "uuid",
    "targetUserId": "uuid",
    "rating": 5,
    "createdAt": "2026-10-26T00:00:00Z"
  },
  "traceId": "00-4bf92f3577b34da6a3ce929d0e0e4736-00f067aa0ba902b7-01",
  "timestamp": "2026-10-26T00:00:00Z"
}</t>
        </is>
      </c>
      <c r="G102" t="inlineStr">
        <is>
          <t>400 VAL_INVALID_RATING: Rating must be an integer between 1 and 5.
401 UNAUTHORIZED: Token is missing, expired, or invalid.
404 USER_NOT_FOUND: Target user was not found.</t>
        </is>
      </c>
      <c r="H102" s="163"/>
      <c r="I102" s="159" t="s">
        <v>1713</v>
      </c>
      <c r="J102" s="178" t="s">
        <v>2690</v>
      </c>
      <c r="K102" s="178" t="s">
        <v>2691</v>
      </c>
      <c r="L102" s="159" t="s">
        <v>1717</v>
      </c>
      <c r="M102" s="158"/>
      <c r="N102" s="164"/>
      <c r="O102" s="164"/>
      <c r="P102" s="164"/>
      <c r="Q102" s="7"/>
      <c r="R102" s="7"/>
      <c r="S102" s="7"/>
      <c r="T102" s="7"/>
      <c r="U102" s="7"/>
      <c r="V102" s="7"/>
      <c r="W102" s="7"/>
      <c r="X102" s="7"/>
      <c r="Y102" s="7"/>
      <c r="Z102" s="7"/>
      <c r="AA102" s="7"/>
    </row>
    <row r="103">
      <c r="A103" s="158"/>
      <c r="B103" s="159" t="s">
        <v>644</v>
      </c>
      <c r="C103" s="161" t="s">
        <v>1701</v>
      </c>
      <c r="D103" s="161" t="s">
        <v>1720</v>
      </c>
      <c r="E103" s="161" t="s">
        <v>1721</v>
      </c>
      <c r="F103" t="inlineStr">
        <is>
          <t>200 OK:
{
  "success": true,
  "statusCode": 200,
  "data": {
    "reviewId": "uuid",
    "orderId": "uuid",
    "productId": "uuid",
    "rating": 4,
    "comment": "Cap nhat: San pham dung tot sau 1 tuan.",
    "updatedAt": "2026-10-26T00:00:00Z"
  },
  "traceId": "00-4bf92f3577b34da6a3ce929d0e0e4736-00f067aa0ba902b7-01",
  "timestamp": "2026-10-26T00:00:00Z"
}</t>
        </is>
      </c>
      <c r="G103" t="inlineStr">
        <is>
          <t>400 VAL_INVALID_RATING: Rating must be an integer between 1 and 5.
401 UNAUTHORIZED: Token is missing, expired, or invalid.
403 FORBIDDEN: You can only edit your own reviews.
404 REVIEW_NOT_FOUND: Review does not exist.</t>
        </is>
      </c>
      <c r="H103" s="163"/>
      <c r="I103" s="178" t="s">
        <v>2692</v>
      </c>
      <c r="J103" s="159" t="s">
        <v>1705</v>
      </c>
      <c r="K103" s="159" t="s">
        <v>1706</v>
      </c>
      <c r="L103" s="159" t="s">
        <v>1708</v>
      </c>
      <c r="M103" s="158"/>
      <c r="N103" s="164"/>
      <c r="O103" s="164"/>
      <c r="P103" s="164"/>
      <c r="Q103" s="7"/>
      <c r="R103" s="7"/>
      <c r="S103" s="7"/>
      <c r="T103" s="7"/>
      <c r="U103" s="7"/>
      <c r="V103" s="7"/>
      <c r="W103" s="7"/>
      <c r="X103" s="7"/>
      <c r="Y103" s="7"/>
      <c r="Z103" s="7"/>
      <c r="AA103" s="7"/>
    </row>
    <row r="104">
      <c r="A104" s="158"/>
      <c r="B104" s="159" t="s">
        <v>644</v>
      </c>
      <c r="C104" s="161" t="s">
        <v>1710</v>
      </c>
      <c r="D104" s="161" t="s">
        <v>1723</v>
      </c>
      <c r="E104" s="161" t="s">
        <v>1724</v>
      </c>
      <c r="F104" t="inlineStr">
        <is>
          <t>200 OK:
{
  "success": true,
  "statusCode": 200,
  "data": {
    "feedbackId": "uuid",
    "orderId": "uuid",
    "targetUserId": "uuid",
    "rating": 4,
    "updatedAt": "2026-10-26T00:00:00Z"
  },
  "traceId": "00-4bf92f3577b34da6a3ce929d0e0e4736-00f067aa0ba902b7-01",
  "timestamp": "2026-10-26T00:00:00Z"
}</t>
        </is>
      </c>
      <c r="G104" t="inlineStr">
        <is>
          <t>400 VAL_INVALID_RATING: Rating must be an integer between 1 and 5.
401 UNAUTHORIZED: Token is missing, expired, or invalid.
403 FORBIDDEN: You can only edit your own feedback.
404 FEEDBACK_NOT_FOUND: Feedback does not exist.</t>
        </is>
      </c>
      <c r="H104" s="163"/>
      <c r="I104" s="159" t="s">
        <v>1713</v>
      </c>
      <c r="J104" s="178" t="s">
        <v>2690</v>
      </c>
      <c r="K104" s="178" t="s">
        <v>2691</v>
      </c>
      <c r="L104" s="159" t="s">
        <v>1717</v>
      </c>
      <c r="M104" s="158"/>
      <c r="N104" s="164"/>
      <c r="O104" s="164"/>
      <c r="P104" s="164"/>
      <c r="Q104" s="7"/>
      <c r="R104" s="7"/>
      <c r="S104" s="7"/>
      <c r="T104" s="7"/>
      <c r="U104" s="7"/>
      <c r="V104" s="7"/>
      <c r="W104" s="7"/>
      <c r="X104" s="7"/>
      <c r="Y104" s="7"/>
      <c r="Z104" s="7"/>
      <c r="AA104" s="7"/>
    </row>
    <row r="105">
      <c r="A105" s="158"/>
      <c r="B105" s="175"/>
      <c r="C105" s="161"/>
      <c r="D105" s="161"/>
      <c r="E105" s="174"/>
      <c r="F105" s="174"/>
      <c r="G105" s="174"/>
      <c r="H105" s="163"/>
      <c r="I105" s="175"/>
      <c r="J105" s="175"/>
      <c r="K105" s="175"/>
      <c r="L105" s="175"/>
      <c r="M105" s="158"/>
      <c r="N105" s="164"/>
      <c r="O105" s="164"/>
      <c r="P105" s="164"/>
      <c r="Q105" s="7"/>
      <c r="R105" s="7"/>
      <c r="S105" s="7"/>
      <c r="T105" s="7"/>
      <c r="U105" s="7"/>
      <c r="V105" s="7"/>
      <c r="W105" s="7"/>
      <c r="X105" s="7"/>
      <c r="Y105" s="7"/>
      <c r="Z105" s="7"/>
      <c r="AA105" s="7"/>
    </row>
    <row r="106">
      <c r="A106" s="158"/>
      <c r="B106" s="159" t="s">
        <v>53</v>
      </c>
      <c r="C106" s="161" t="s">
        <v>1725</v>
      </c>
      <c r="D106" s="161" t="s">
        <v>1727</v>
      </c>
      <c r="E106" s="161" t="s">
        <v>1728</v>
      </c>
      <c r="F106" t="inlineStr">
        <is>
          <t>200 OK:
{
  "success": true,
  "statusCode": 200,
  "data": {
    "shipmentId": "uuid",
    "status": "COMPLETED",
    "completedAt": "2026-10-26T00:00:00Z"
  },
  "traceId": "00-4bf92f3577b34da6a3ce929d0e0e4736-00f067aa0ba902b7-01",
  "timestamp": "2026-10-26T00:00:00Z"
}</t>
        </is>
      </c>
      <c r="G106" t="inlineStr">
        <is>
          <t>400 INVALID_SHIPMENT_STATUS: Shipment can only be completed when delivered.
401 UNAUTHORIZED: Token is missing, expired, or invalid.
404 SHIPMENT_NOT_FOUND: Shipment not found.</t>
        </is>
      </c>
      <c r="H106" s="163"/>
      <c r="I106" s="159" t="s">
        <v>1729</v>
      </c>
      <c r="J106" s="179" t="s">
        <v>1730</v>
      </c>
      <c r="K106" s="159" t="s">
        <v>1731</v>
      </c>
      <c r="L106" s="159" t="s">
        <v>1732</v>
      </c>
      <c r="M106" s="159" t="s">
        <v>1734</v>
      </c>
      <c r="N106" s="164"/>
      <c r="O106" s="164"/>
      <c r="P106" s="164"/>
      <c r="Q106" s="7"/>
      <c r="R106" s="7"/>
      <c r="S106" s="7"/>
      <c r="T106" s="7"/>
      <c r="U106" s="7"/>
      <c r="V106" s="7"/>
      <c r="W106" s="7"/>
      <c r="X106" s="7"/>
      <c r="Y106" s="7"/>
      <c r="Z106" s="7"/>
      <c r="AA106" s="7"/>
    </row>
    <row r="107">
      <c r="A107" s="158"/>
      <c r="B107" s="159" t="s">
        <v>53</v>
      </c>
      <c r="C107" s="161" t="s">
        <v>1737</v>
      </c>
      <c r="D107" s="161" t="s">
        <v>1739</v>
      </c>
      <c r="E107" s="161" t="s">
        <v>1740</v>
      </c>
      <c r="F107" t="inlineStr">
        <is>
          <t>200 OK:
{
  "success": true,
  "statusCode": 200,
  "message": "Webhook event processed.",
  "data": {
    "success": true
  },
  "traceId": "00-4bf92f3577b34da6a3ce929d0e0e4736-00f067aa0ba902b7-01",
  "timestamp": "2026-10-26T00:00:00Z"
}</t>
        </is>
      </c>
      <c r="G107" t="inlineStr">
        <is>
          <t>400 CARRIER_WEBHOOK_INVALID_SIGNATURE: Invalid webhook signature from shipping provider.
404 SHIPMENT_NOT_FOUND: Tracking number does not match any existing shipment.</t>
        </is>
      </c>
      <c r="H107" s="163"/>
      <c r="I107" s="159" t="s">
        <v>1700</v>
      </c>
      <c r="J107" s="172" t="s">
        <v>1741</v>
      </c>
      <c r="K107" s="159" t="s">
        <v>1743</v>
      </c>
      <c r="L107" s="178" t="s">
        <v>2693</v>
      </c>
      <c r="M107" s="159" t="s">
        <v>1745</v>
      </c>
      <c r="N107" s="172" t="s">
        <v>1746</v>
      </c>
      <c r="O107" s="164"/>
      <c r="P107" s="164"/>
      <c r="Q107" s="7"/>
      <c r="R107" s="7"/>
      <c r="S107" s="7"/>
      <c r="T107" s="7"/>
      <c r="U107" s="7"/>
      <c r="V107" s="7"/>
      <c r="W107" s="7"/>
      <c r="X107" s="7"/>
      <c r="Y107" s="7"/>
      <c r="Z107" s="7"/>
      <c r="AA107" s="7"/>
    </row>
    <row r="108">
      <c r="A108" s="158"/>
      <c r="B108" s="175"/>
      <c r="C108" s="161" t="s">
        <v>1747</v>
      </c>
      <c r="D108" s="161" t="s">
        <v>1749</v>
      </c>
      <c r="E108" s="180"/>
      <c r="F108" s="180"/>
      <c r="G108" s="180"/>
      <c r="H108" s="163"/>
      <c r="I108" s="159" t="s">
        <v>1751</v>
      </c>
      <c r="J108" s="172" t="s">
        <v>1527</v>
      </c>
      <c r="K108" s="159" t="s">
        <v>1753</v>
      </c>
      <c r="L108" s="159" t="s">
        <v>1755</v>
      </c>
      <c r="M108" s="159" t="s">
        <v>1756</v>
      </c>
      <c r="N108" s="172" t="s">
        <v>1757</v>
      </c>
      <c r="O108" s="172" t="s">
        <v>1758</v>
      </c>
      <c r="P108" s="172" t="s">
        <v>1759</v>
      </c>
      <c r="Q108" s="7"/>
      <c r="R108" s="7"/>
      <c r="S108" s="7"/>
      <c r="T108" s="7"/>
      <c r="U108" s="7"/>
      <c r="V108" s="7"/>
      <c r="W108" s="7"/>
      <c r="X108" s="7"/>
      <c r="Y108" s="7"/>
      <c r="Z108" s="7"/>
      <c r="AA108" s="7"/>
    </row>
    <row r="109">
      <c r="A109" s="150" t="s">
        <v>2694</v>
      </c>
      <c r="O109" s="151"/>
      <c r="P109" s="7"/>
      <c r="Q109" s="7"/>
      <c r="R109" s="7"/>
      <c r="S109" s="7"/>
      <c r="T109" s="7"/>
      <c r="U109" s="7"/>
      <c r="V109" s="7"/>
      <c r="W109" s="7"/>
      <c r="X109" s="7"/>
      <c r="Y109" s="7"/>
      <c r="Z109" s="7"/>
      <c r="AA109" s="7"/>
    </row>
    <row r="110">
      <c r="A110" s="181" t="s">
        <v>0</v>
      </c>
      <c r="B110" s="182" t="s">
        <v>19</v>
      </c>
      <c r="C110" s="183" t="s">
        <v>20</v>
      </c>
      <c r="D110" s="183" t="s">
        <v>4</v>
      </c>
      <c r="E110" s="183" t="s">
        <v>6</v>
      </c>
      <c r="F110" t="inlineStr">
        <is>
          <t>Response</t>
        </is>
      </c>
      <c r="G110" t="inlineStr">
        <is>
          <t>Error.</t>
        </is>
      </c>
      <c r="H110" s="118" t="s">
        <v>25</v>
      </c>
      <c r="I110" s="185">
        <v>1.0</v>
      </c>
      <c r="J110" s="185">
        <v>2.0</v>
      </c>
      <c r="K110" s="185">
        <v>3.0</v>
      </c>
      <c r="L110" s="185">
        <v>4.0</v>
      </c>
      <c r="M110" s="185">
        <v>5.0</v>
      </c>
      <c r="N110" s="185">
        <v>6.0</v>
      </c>
      <c r="O110" s="185">
        <v>7.0</v>
      </c>
      <c r="P110" s="12"/>
      <c r="Q110" s="12"/>
      <c r="R110" s="12"/>
      <c r="S110" s="12"/>
      <c r="T110" s="12"/>
      <c r="U110" s="12"/>
      <c r="V110" s="12"/>
      <c r="W110" s="12"/>
      <c r="X110" s="12"/>
      <c r="Y110" s="12"/>
      <c r="Z110" s="12"/>
      <c r="AA110" s="12"/>
    </row>
    <row r="111">
      <c r="A111" s="186"/>
      <c r="B111" s="187" t="s">
        <v>810</v>
      </c>
      <c r="C111" s="188" t="s">
        <v>2529</v>
      </c>
      <c r="D111" s="188" t="s">
        <v>2695</v>
      </c>
      <c r="E111" s="188" t="s">
        <v>2696</v>
      </c>
      <c r="F111" t="inlineStr">
        <is>
          <t>200 OK:
{
  "success": true,
  "statusCode": 200,
  "data": {
    "items": [
      {
        "productId": "uuid",
        "name": "string",
        "brand": "string",
        "saleType": "REGULAR|AUCTION",
        "minPrice": "decimal | null",
        "maxPrice": "decimal | null",
        "primaryImageUrl": "string | null",
        "avgRating": "decimal | null",
        "status": "DRAFT|ACTIVE|INACTIVE",
        "auctionStatus": "DRAFT|SCHEDULED|RUNNING|ENDED|SETTLED|FAILED|CANCELLED | null",
        "isOpen": "boolean | null",
        "isSold": "boolean | null"
      }
    ],
    "pagination": {
      "pageIndex": 1,
      "pageSize": 20,
      "totalCount": 100,
      "totalPages": 5,
      "hasPreviousPage": false,
      "hasNextPage": true
    }
  },
  "traceId": "00-4bf92f3577b34da6a3ce929d0e0e4736-00f067aa0ba902b7-01",
  "timestamp": "2026-10-26T00:00:00Z"
}</t>
        </is>
      </c>
      <c r="G111" t="inlineStr">
        <is>
          <t>400 VALIDATION_ERROR: Page &lt; 1, pageSize outside 1..100, invalid sortBy or sortDir, or invalid UUID format.
401 UNAUTHORIZED: Provided token is invalid or has expired.</t>
        </is>
      </c>
      <c r="H111" s="163"/>
      <c r="I111" s="187" t="s">
        <v>292</v>
      </c>
      <c r="J111" s="187" t="s">
        <v>2593</v>
      </c>
      <c r="K111" s="186"/>
      <c r="L111" s="186"/>
      <c r="M111" s="186"/>
      <c r="N111" s="186"/>
      <c r="O111" s="186"/>
      <c r="P111" s="12"/>
      <c r="Q111" s="12"/>
      <c r="R111" s="12"/>
      <c r="S111" s="12"/>
      <c r="T111" s="12"/>
      <c r="U111" s="12"/>
      <c r="V111" s="12"/>
      <c r="W111" s="12"/>
      <c r="X111" s="12"/>
      <c r="Y111" s="12"/>
      <c r="Z111" s="12"/>
      <c r="AA111" s="12"/>
    </row>
    <row r="112">
      <c r="A112" s="189"/>
      <c r="B112" s="190" t="s">
        <v>810</v>
      </c>
      <c r="C112" s="191" t="s">
        <v>2699</v>
      </c>
      <c r="D112" s="191" t="s">
        <v>2700</v>
      </c>
      <c r="E112" s="191" t="s">
        <v>2701</v>
      </c>
      <c r="F112" t="inlineStr">
        <is>
          <t>200 OK:
{
  "success": true,
  "statusCode": 200,
  "data": {
    "items": [
      {
        "productId": "uuid",
        "name": "string",
        "brand": "string",
        "saleType": "REGULAR|AUCTION",
        "minPrice": "decimal | null",
        "maxPrice": "decimal | null",
        "primaryImageUrl": "string | null",
        "avgRating": "decimal | null",
        "status": "DRAFT|ACTIVE|INACTIVE",
        "auctionStatus": "DRAFT|SCHEDULED|RUNNING|ENDED|SETTLED|FAILED|CANCELLED | null",
        "isOpen": "boolean | null",
        "isSold": "boolean | null"
      }
    ],
    "pagination": {
      "pageIndex": 1,
      "pageSize": 20,
      "totalCount": 100,
      "totalPages": 5,
      "hasPreviousPage": false,
      "hasNextPage": true
    }
  },
  "traceId": "00-4bf92f3577b34da6a3ce929d0e0e4736-00f067aa0ba902b7-01",
  "timestamp": "2026-10-26T00:00:00Z"
}</t>
        </is>
      </c>
      <c r="G112" t="inlineStr">
        <is>
          <t>400 VALIDATION_ERROR: Minprice &gt; maxprice, rating outside 0..5, invalid sortBy, invalid attribute format, or invalid pagination.
401 UNAUTHORIZED: Token is missing, expired, or invalid.
403 FORBIDDEN: Only sellers or administrators can perform this action.</t>
        </is>
      </c>
      <c r="H112" s="163"/>
      <c r="I112" s="190" t="s">
        <v>2704</v>
      </c>
      <c r="J112" s="190" t="s">
        <v>2593</v>
      </c>
      <c r="K112" s="189"/>
      <c r="L112" s="189"/>
      <c r="M112" s="189"/>
      <c r="N112" s="189"/>
      <c r="O112" s="189"/>
      <c r="P112" s="12"/>
      <c r="Q112" s="12"/>
      <c r="R112" s="12"/>
      <c r="S112" s="12"/>
      <c r="T112" s="12"/>
      <c r="U112" s="12"/>
      <c r="V112" s="12"/>
      <c r="W112" s="12"/>
      <c r="X112" s="12"/>
      <c r="Y112" s="12"/>
      <c r="Z112" s="12"/>
      <c r="AA112" s="12"/>
    </row>
    <row r="113">
      <c r="A113" s="186"/>
      <c r="B113" s="187" t="s">
        <v>810</v>
      </c>
      <c r="C113" s="188" t="s">
        <v>2556</v>
      </c>
      <c r="D113" s="188" t="s">
        <v>2705</v>
      </c>
      <c r="E113" s="188" t="s">
        <v>2706</v>
      </c>
      <c r="F113" t="inlineStr">
        <is>
          <t>200 OK:
{
  "success": true,
  "statusCode": 200,
  "data": {
    "product": {
      "productId": "uuid",
      "sellerId": "uuid",
      "categoryId": "uuid",
      "name": "string",
      "description": "string",
      "brand": "string",
      "saleType": "REGULAR|AUCTION",
      "status": "DRAFT|ACTIVE|INACTIVE",
      "statusReason": "SELLER_PAUSED|DISCONTINUED|ADMIN_LOCKED|OTHER | null",
      "specifications": "object",
      "publishedAt": "datetime | null"
    },
    "category": {
      "categoryId": "uuid",
      "parentId": "uuid | null",
      "name": "string",
      "description": "string",
      "level": "int (1..3)",
      "sortOrder": "int",
      "isActive": "boolean"
    },
    "variants": [
      {
        "variantId": "uuid",
        "skuCode": "string",
        "name": "string",
        "price": "decimal | null",
        "status": "ACTIVE|INACTIVE",
        "isDefault": "boolean",
        "attributes": [
          {
            "attrName": "string",
            "attrValue": "string"
          }
        ]
      }
    ],
    "images": [
      {
        "imageId": "uuid",
        "url": "string",
        "altText": "string",
        "isActive": "boolean",
        "sortOrder": "int",
        "variantId": "uuid | null"
      }
    ],
    "rating": {
      "avgRating": "decimal | null",
      "reviewCount": "int"
    }
  },
  "traceId": "00-4bf92f3577b34da6a3ce929d0e0e4736-00f067aa0ba902b7-01",
  "timestamp": "2026-10-26T00:00:00Z"
}</t>
        </is>
      </c>
      <c r="G113" t="inlineStr">
        <is>
          <t>400 VALIDATION_ERROR: Productid or auctionid is not a valid UUID format.
404 PRODUCT_NOT_FOUND: Product was not found, has been deleted, or is not accessible.</t>
        </is>
      </c>
      <c r="H113" s="163"/>
      <c r="I113" s="187" t="s">
        <v>254</v>
      </c>
      <c r="J113" s="187" t="s">
        <v>2593</v>
      </c>
      <c r="K113" s="186"/>
      <c r="L113" s="186"/>
      <c r="M113" s="186"/>
      <c r="N113" s="186"/>
      <c r="O113" s="186"/>
      <c r="P113" s="12"/>
      <c r="Q113" s="12"/>
      <c r="R113" s="12"/>
      <c r="S113" s="12"/>
      <c r="T113" s="12"/>
      <c r="U113" s="12"/>
      <c r="V113" s="12"/>
      <c r="W113" s="12"/>
      <c r="X113" s="12"/>
      <c r="Y113" s="12"/>
      <c r="Z113" s="12"/>
      <c r="AA113" s="12"/>
    </row>
    <row r="114">
      <c r="A114" s="189"/>
      <c r="B114" s="190" t="s">
        <v>53</v>
      </c>
      <c r="C114" s="191" t="s">
        <v>2529</v>
      </c>
      <c r="D114" s="191" t="s">
        <v>2710</v>
      </c>
      <c r="E114" s="191" t="s">
        <v>2711</v>
      </c>
      <c r="F114" t="inlineStr">
        <is>
          <t>201 Created:
{
  "success": true,
  "statusCode": 201,
  "data": {
    "productId": "uuid",
    "status": "DRAFT",
    "saleType": "REGULAR",
    "variants": [
      {
        "variantId": "uuid",
        "skuCode": "string"
      }
    ]
  },
  "traceId": "00-4bf92f3577b34da6a3ce929d0e0e4736-00f067aa0ba902b7-01",
  "timestamp": "2026-10-26T00:00:00Z"
}</t>
        </is>
      </c>
      <c r="G114" t="inlineStr">
        <is>
          <t>400 VALIDATION_ERROR: Name is empty, variants missing, price &lt;= 0, no default variant, or duplicate attribute names.
400 CATEGORY_INVALID: Specified categoryid does not exist, is deactivated, or deleted.
401 UNAUTHORIZED: Token is missing, expired, or invalid.
403 SELLER_NOT_ALLOWED: Account is not an approved seller.
409 SKU_CODE_DUPLICATED: Skucode already exists on an active variant.
503 USER_SERVICE_UNAVAILABLE: Failed to verify seller account with user service.</t>
        </is>
      </c>
      <c r="H114" s="163"/>
      <c r="I114" s="190" t="s">
        <v>32</v>
      </c>
      <c r="J114" s="190" t="s">
        <v>2715</v>
      </c>
      <c r="K114" s="189"/>
      <c r="L114" s="189"/>
      <c r="M114" s="189"/>
      <c r="N114" s="189"/>
      <c r="O114" s="189"/>
      <c r="P114" s="12"/>
      <c r="Q114" s="12"/>
      <c r="R114" s="12"/>
      <c r="S114" s="12"/>
      <c r="T114" s="12"/>
      <c r="U114" s="12"/>
      <c r="V114" s="12"/>
      <c r="W114" s="12"/>
      <c r="X114" s="12"/>
      <c r="Y114" s="12"/>
      <c r="Z114" s="12"/>
      <c r="AA114" s="12"/>
    </row>
    <row r="115">
      <c r="A115" s="186"/>
      <c r="B115" s="187" t="s">
        <v>644</v>
      </c>
      <c r="C115" s="188" t="s">
        <v>2556</v>
      </c>
      <c r="D115" s="188" t="s">
        <v>2717</v>
      </c>
      <c r="E115" s="188" t="s">
        <v>2719</v>
      </c>
      <c r="F115" t="inlineStr">
        <is>
          <t>200 OK:
{
  "success": true,
  "statusCode": 200,
  "data": {
    "productId": "uuid",
    "categoryId": "uuid",
    "name": "string",
    "description": "string",
    "brand": "string",
    "saleType": "REGULAR|AUCTION",
    "status": "DRAFT|ACTIVE|INACTIVE",
    "specifications": "object",
    "updatedAt": "datetime"
  },
  "traceId": "00-4bf92f3577b34da6a3ce929d0e0e4736-00f067aa0ba902b7-01",
  "timestamp": "2026-10-26T00:00:00Z"
}</t>
        </is>
      </c>
      <c r="G115" t="inlineStr">
        <is>
          <t>400 VALIDATION_ERROR: Empty update payload, name is empty, or invalid productid UUID format.
400 CATEGORY_INVALID: New categoryid does not exist, is deactivated, or deleted.
401 UNAUTHORIZED: Token is missing, expired, or invalid.
403 FORBIDDEN: You are not the owner of this product and not an administrator.
404 PRODUCT_NOT_FOUND: Product was not found or has been deleted.</t>
        </is>
      </c>
      <c r="H115" s="163"/>
      <c r="I115" s="187" t="s">
        <v>2728</v>
      </c>
      <c r="J115" s="187" t="s">
        <v>2729</v>
      </c>
      <c r="K115" s="186"/>
      <c r="L115" s="186"/>
      <c r="M115" s="186"/>
      <c r="N115" s="186"/>
      <c r="O115" s="186"/>
      <c r="P115" s="12"/>
      <c r="Q115" s="12"/>
      <c r="R115" s="12"/>
      <c r="S115" s="12"/>
      <c r="T115" s="12"/>
      <c r="U115" s="12"/>
      <c r="V115" s="12"/>
      <c r="W115" s="12"/>
      <c r="X115" s="12"/>
      <c r="Y115" s="12"/>
      <c r="Z115" s="12"/>
      <c r="AA115" s="12"/>
    </row>
    <row r="116">
      <c r="A116" s="189"/>
      <c r="B116" s="190" t="s">
        <v>846</v>
      </c>
      <c r="C116" s="191" t="s">
        <v>2556</v>
      </c>
      <c r="D116" s="191" t="s">
        <v>216</v>
      </c>
      <c r="E116" s="191" t="s">
        <v>2731</v>
      </c>
      <c r="F116" t="inlineStr">
        <is>
          <t>204 No Content</t>
        </is>
      </c>
      <c r="G116" t="inlineStr">
        <is>
          <t>400 VALIDATION_ERROR: Productid is not a valid UUID format.
401 UNAUTHORIZED: Token is missing, expired, or invalid.
403 FORBIDDEN: You are not the owner of this product and not an administrator.
404 PRODUCT_NOT_FOUND: Product was not found or has been deleted.
409 PRODUCT_HAS_ORDER: Product has variants with associated orders, please deactivate instead.
409 PRODUCT_IN_AUCTION: Product is in an active auction and cannot be modified.</t>
        </is>
      </c>
      <c r="H116" s="163"/>
      <c r="I116" s="190" t="s">
        <v>213</v>
      </c>
      <c r="J116" s="189"/>
      <c r="K116" s="189"/>
      <c r="L116" s="189"/>
      <c r="M116" s="189"/>
      <c r="N116" s="189"/>
      <c r="O116" s="189"/>
      <c r="P116" s="12"/>
      <c r="Q116" s="12"/>
      <c r="R116" s="12"/>
      <c r="S116" s="12"/>
      <c r="T116" s="12"/>
      <c r="U116" s="12"/>
      <c r="V116" s="12"/>
      <c r="W116" s="12"/>
      <c r="X116" s="12"/>
      <c r="Y116" s="12"/>
      <c r="Z116" s="12"/>
      <c r="AA116" s="12"/>
    </row>
    <row r="117">
      <c r="A117" s="186"/>
      <c r="B117" s="187" t="s">
        <v>53</v>
      </c>
      <c r="C117" s="188" t="s">
        <v>2738</v>
      </c>
      <c r="D117" s="188" t="s">
        <v>2740</v>
      </c>
      <c r="E117" s="188" t="s">
        <v>2743</v>
      </c>
      <c r="F117" t="inlineStr">
        <is>
          <t>201 Created:
{
  "success": true,
  "statusCode": 201,
  "data": {
    "items": [
      {
        "imageId": "uuid",
        "url": "string",
        "isActive": "boolean",
        "sortOrder": "int"
      }
    ],
    "pagination": {
      "pageIndex": 1,
      "pageSize": 20,
      "totalCount": 100,
      "totalPages": 5,
      "hasPreviousPage": false,
      "hasNextPage": true
    }
  },
  "traceId": "00-4bf92f3577b34da6a3ce929d0e0e4736-00f067aa0ba902b7-01",
  "timestamp": "2026-10-26T00:00:00Z"
}</t>
        </is>
      </c>
      <c r="G117" t="inlineStr">
        <is>
          <t>400 VALIDATION_ERROR: Files list is empty, variantid does not belong to product, or invalid productid.
401 UNAUTHORIZED: Token is missing, expired, or invalid.
403 FORBIDDEN: You are not the owner of this product and not an administrator.
404 PRODUCT_NOT_FOUND: Product was not found or has been deleted.
409 IMAGE_LIMIT_EXCEEDED: Total images for this product cannot exceed 5.
413 FILE_TOO_LARGE: File size exceeds the maximum allowed limit.
415 UNSUPPORTED_MEDIA_TYPE: Unsupported media type, only JPG, PNG, and WEBP formats are allowed.
503 STORAGE_UNAVAILABLE: Failed to upload file to object storage service.</t>
        </is>
      </c>
      <c r="H117" s="163"/>
      <c r="I117" s="187" t="s">
        <v>498</v>
      </c>
      <c r="J117" s="186"/>
      <c r="K117" s="186"/>
      <c r="L117" s="186"/>
      <c r="M117" s="186"/>
      <c r="N117" s="186"/>
      <c r="O117" s="186"/>
      <c r="P117" s="12"/>
      <c r="Q117" s="12"/>
      <c r="R117" s="12"/>
      <c r="S117" s="12"/>
      <c r="T117" s="12"/>
      <c r="U117" s="12"/>
      <c r="V117" s="12"/>
      <c r="W117" s="12"/>
      <c r="X117" s="12"/>
      <c r="Y117" s="12"/>
      <c r="Z117" s="12"/>
      <c r="AA117" s="12"/>
    </row>
    <row r="118">
      <c r="A118" s="189"/>
      <c r="B118" s="190" t="s">
        <v>810</v>
      </c>
      <c r="C118" s="191" t="s">
        <v>2738</v>
      </c>
      <c r="D118" s="191" t="s">
        <v>2751</v>
      </c>
      <c r="E118" s="191" t="s">
        <v>2753</v>
      </c>
      <c r="F118" t="inlineStr">
        <is>
          <t>200 OK:
{
  "success": true,
  "statusCode": 200,
  "data": {
    "items": [
      {
        "imageId": "uuid",
        "url": "string",
        "altText": "string",
        "isActive": "boolean",
        "sortOrder": "int",
        "variantId": "uuid | null"
      }
    ],
    "pagination": {
      "pageIndex": 1,
      "pageSize": 20,
      "totalCount": 100,
      "totalPages": 5,
      "hasPreviousPage": false,
      "hasNextPage": true
    }
  },
  "traceId": "00-4bf92f3577b34da6a3ce929d0e0e4736-00f067aa0ba902b7-01",
  "timestamp": "2026-10-26T00:00:00Z"
}</t>
        </is>
      </c>
      <c r="G118" t="inlineStr">
        <is>
          <t>400 VALIDATION_ERROR: Productid or variantid is not a valid UUID, or variant does not belong to product.
404 PRODUCT_NOT_FOUND: Product was not found, has been deleted, or is not active.</t>
        </is>
      </c>
      <c r="H118" s="163"/>
      <c r="I118" s="190" t="s">
        <v>1597</v>
      </c>
      <c r="J118" s="189"/>
      <c r="K118" s="189"/>
      <c r="L118" s="189"/>
      <c r="M118" s="189"/>
      <c r="N118" s="189"/>
      <c r="O118" s="189"/>
      <c r="P118" s="12"/>
      <c r="Q118" s="12"/>
      <c r="R118" s="12"/>
      <c r="S118" s="12"/>
      <c r="T118" s="12"/>
      <c r="U118" s="12"/>
      <c r="V118" s="12"/>
      <c r="W118" s="12"/>
      <c r="X118" s="12"/>
      <c r="Y118" s="12"/>
      <c r="Z118" s="12"/>
      <c r="AA118" s="12"/>
    </row>
    <row r="119">
      <c r="A119" s="186"/>
      <c r="B119" s="187" t="s">
        <v>846</v>
      </c>
      <c r="C119" s="188" t="s">
        <v>2738</v>
      </c>
      <c r="D119" s="188" t="s">
        <v>2763</v>
      </c>
      <c r="E119" s="188" t="s">
        <v>2766</v>
      </c>
      <c r="F119" t="inlineStr">
        <is>
          <t>204 No Content</t>
        </is>
      </c>
      <c r="G119" t="inlineStr">
        <is>
          <t>400 VALIDATION_ERROR: Image ID list is empty or contains invalid UUIDs.
401 UNAUTHORIZED: Token is missing, expired, or invalid.
403 FORBIDDEN: You are not the owner of this product and not an administrator.
404 IMAGE_NOT_FOUND: One or more images do not exist, were deleted, or do not belong to this product.</t>
        </is>
      </c>
      <c r="H119" s="163"/>
      <c r="I119" s="187" t="s">
        <v>528</v>
      </c>
      <c r="J119" s="186"/>
      <c r="K119" s="186"/>
      <c r="L119" s="186"/>
      <c r="M119" s="186"/>
      <c r="N119" s="186"/>
      <c r="O119" s="186"/>
      <c r="P119" s="12"/>
      <c r="Q119" s="12"/>
      <c r="R119" s="12"/>
      <c r="S119" s="12"/>
      <c r="T119" s="12"/>
      <c r="U119" s="12"/>
      <c r="V119" s="12"/>
      <c r="W119" s="12"/>
      <c r="X119" s="12"/>
      <c r="Y119" s="12"/>
      <c r="Z119" s="12"/>
      <c r="AA119" s="12"/>
    </row>
    <row r="120">
      <c r="A120" s="189"/>
      <c r="B120" s="190" t="s">
        <v>810</v>
      </c>
      <c r="C120" s="191" t="s">
        <v>2780</v>
      </c>
      <c r="D120" s="191" t="s">
        <v>2783</v>
      </c>
      <c r="E120" s="191" t="s">
        <v>2785</v>
      </c>
      <c r="F120" t="inlineStr">
        <is>
          <t>200 OK:
{
  "success": true,
  "statusCode": 200,
  "data": {
    "productId": "uuid",
    "avgRating": "decimal | null",
    "reviewCount": "int"
  },
  "traceId": "00-4bf92f3577b34da6a3ce929d0e0e4736-00f067aa0ba902b7-01",
  "timestamp": "2026-10-26T00:00:00Z"
}</t>
        </is>
      </c>
      <c r="G120" t="inlineStr">
        <is>
          <t>400 VALIDATION_ERROR: Productid is not a valid UUID format.
404 PRODUCT_NOT_FOUND: Product was not found or has been deleted.</t>
        </is>
      </c>
      <c r="H120" s="163"/>
      <c r="I120" s="190" t="s">
        <v>1083</v>
      </c>
      <c r="J120" s="189"/>
      <c r="K120" s="189"/>
      <c r="L120" s="189"/>
      <c r="M120" s="189"/>
      <c r="N120" s="189"/>
      <c r="O120" s="189"/>
      <c r="P120" s="12"/>
      <c r="Q120" s="12"/>
      <c r="R120" s="12"/>
      <c r="S120" s="12"/>
      <c r="T120" s="12"/>
      <c r="U120" s="12"/>
      <c r="V120" s="12"/>
      <c r="W120" s="12"/>
      <c r="X120" s="12"/>
      <c r="Y120" s="12"/>
      <c r="Z120" s="12"/>
      <c r="AA120" s="12"/>
    </row>
    <row r="121">
      <c r="A121" s="186"/>
      <c r="B121" s="187" t="s">
        <v>810</v>
      </c>
      <c r="C121" s="188" t="s">
        <v>2795</v>
      </c>
      <c r="D121" s="188" t="s">
        <v>2796</v>
      </c>
      <c r="E121" s="188" t="s">
        <v>2797</v>
      </c>
      <c r="F121" t="inlineStr">
        <is>
          <t>200 OK:
{
  "success": true,
  "statusCode": 200,
  "data": {
    "items": [
      {
        "reviewId": "uuid",
        "rating": "int (1..5)",
        "comment": "string",
        "createdAt": "datetime",
        "reviewerName": "string | null"
      }
    ],
    "pagination": {
      "pageIndex": 1,
      "pageSize": 20,
      "totalCount": 100,
      "totalPages": 5,
      "hasPreviousPage": false,
      "hasNextPage": true
    }
  },
  "traceId": "00-4bf92f3577b34da6a3ce929d0e0e4736-00f067aa0ba902b7-01",
  "timestamp": "2026-10-26T00:00:00Z"
}</t>
        </is>
      </c>
      <c r="G121" t="inlineStr">
        <is>
          <t>400 VALIDATION_ERROR: Invalid pagination, rating outside 1..5, invalid sortBy, or invalid productid format.
404 PRODUCT_NOT_FOUND: Product was not found or has been deleted.</t>
        </is>
      </c>
      <c r="H121" s="163"/>
      <c r="I121" s="187" t="s">
        <v>2800</v>
      </c>
      <c r="J121" s="186"/>
      <c r="K121" s="186"/>
      <c r="L121" s="186"/>
      <c r="M121" s="186"/>
      <c r="N121" s="186"/>
      <c r="O121" s="186"/>
      <c r="P121" s="12"/>
      <c r="Q121" s="12"/>
      <c r="R121" s="12"/>
      <c r="S121" s="12"/>
      <c r="T121" s="12"/>
      <c r="U121" s="12"/>
      <c r="V121" s="12"/>
      <c r="W121" s="12"/>
      <c r="X121" s="12"/>
      <c r="Y121" s="12"/>
      <c r="Z121" s="12"/>
      <c r="AA121" s="12"/>
    </row>
    <row r="122">
      <c r="A122" s="189"/>
      <c r="B122" s="190" t="s">
        <v>644</v>
      </c>
      <c r="C122" s="191" t="s">
        <v>2803</v>
      </c>
      <c r="D122" s="191" t="s">
        <v>2805</v>
      </c>
      <c r="E122" s="191" t="s">
        <v>2808</v>
      </c>
      <c r="F122" t="inlineStr">
        <is>
          <t>200 OK:
{
  "success": true,
  "statusCode": 200,
  "data": {
    "productId": "uuid",
    "status": "DRAFT|ACTIVE|INACTIVE",
    "statusReason": "string | null",
    "publishedAt": "datetime | null"
  },
  "traceId": "00-4bf92f3577b34da6a3ce929d0e0e4736-00f067aa0ba902b7-01",
  "timestamp": "2026-10-26T00:00:00Z"
}</t>
        </is>
      </c>
      <c r="G122" t="inlineStr">
        <is>
          <t>400 VALIDATION_ERROR: Invalid status, missing statusreason for inactive, or unexpected statusreason.
401 UNAUTHORIZED: Token is missing, expired, or invalid.
403 FORBIDDEN: You are not the product owner, or product is locked by admin (only admin can unlock).
404 PRODUCT_NOT_FOUND: Product was not found or has been deleted.
409 PRODUCT_NOT_PUBLISHABLE: Cannot activate product without active variants or valid variant prices.
409 PRODUCT_IN_AUCTION: Cannot hide product while it is in an active auction.</t>
        </is>
      </c>
      <c r="H122" s="163"/>
      <c r="I122" s="190" t="s">
        <v>163</v>
      </c>
      <c r="J122" s="189"/>
      <c r="K122" s="189"/>
      <c r="L122" s="189"/>
      <c r="M122" s="189"/>
      <c r="N122" s="189"/>
      <c r="O122" s="189"/>
      <c r="P122" s="12"/>
      <c r="Q122" s="12"/>
      <c r="R122" s="12"/>
      <c r="S122" s="12"/>
      <c r="T122" s="12"/>
      <c r="U122" s="12"/>
      <c r="V122" s="12"/>
      <c r="W122" s="12"/>
      <c r="X122" s="12"/>
      <c r="Y122" s="12"/>
      <c r="Z122" s="12"/>
      <c r="AA122" s="12"/>
    </row>
    <row r="123">
      <c r="A123" s="186"/>
      <c r="B123" s="187" t="s">
        <v>53</v>
      </c>
      <c r="C123" s="188" t="s">
        <v>2827</v>
      </c>
      <c r="D123" s="188" t="s">
        <v>2830</v>
      </c>
      <c r="E123" s="188" t="s">
        <v>2832</v>
      </c>
      <c r="F123" t="inlineStr">
        <is>
          <t>200 OK:
{
  "success": true,
  "statusCode": 200,
  "data": {
    "items": [
      {
        "skuId": "uuid",
        "addedQuantity": "int",
        "stockQuantity": "int"
      }
    ],
    "pagination": {
      "pageIndex": 1,
      "pageSize": 20,
      "totalCount": 100,
      "totalPages": 5,
      "hasPreviousPage": false,
      "hasNextPage": true
    }
  },
  "traceId": "00-4bf92f3577b34da6a3ce929d0e0e4736-00f067aa0ba902b7-01",
  "timestamp": "2026-10-26T00:00:00Z"
}</t>
        </is>
      </c>
      <c r="G123" t="inlineStr">
        <is>
          <t>400 VALIDATION_ERROR: Items list is empty, quantity &lt;= 0, exceeds 100 SKUs, or duplicate SKUs.
401 UNAUTHORIZED: Token is missing, expired, or invalid.
403 FORBIDDEN: One or more SKUs do not belong to the calling seller products.
404 SKU_NOT_FOUND: One or more SKUs do not exist or have been deleted.
503 CATALOG_UNAVAILABLE: Fulfillment service failed to communicate with catalog service.</t>
        </is>
      </c>
      <c r="H123" s="163"/>
      <c r="I123" s="187" t="s">
        <v>793</v>
      </c>
      <c r="J123" s="187" t="s">
        <v>2729</v>
      </c>
      <c r="K123" s="186"/>
      <c r="L123" s="186"/>
      <c r="M123" s="186"/>
      <c r="N123" s="186"/>
      <c r="O123" s="186"/>
      <c r="P123" s="12"/>
      <c r="Q123" s="12"/>
      <c r="R123" s="12"/>
      <c r="S123" s="12"/>
      <c r="T123" s="12"/>
      <c r="U123" s="12"/>
      <c r="V123" s="12"/>
      <c r="W123" s="12"/>
      <c r="X123" s="12"/>
      <c r="Y123" s="12"/>
      <c r="Z123" s="12"/>
      <c r="AA123" s="12"/>
    </row>
    <row r="124">
      <c r="A124" s="189"/>
      <c r="B124" s="190" t="s">
        <v>53</v>
      </c>
      <c r="C124" s="191" t="s">
        <v>2843</v>
      </c>
      <c r="D124" s="191" t="s">
        <v>2844</v>
      </c>
      <c r="E124" s="191" t="s">
        <v>2846</v>
      </c>
      <c r="F124" t="inlineStr">
        <is>
          <t>201 Created:
{
  "success": true,
  "statusCode": 201,
  "data": {
    "variantId": "uuid",
    "skuCode": "string",
    "status": "ACTIVE|INACTIVE"
  },
  "traceId": "00-4bf92f3577b34da6a3ce929d0e0e4736-00f067aa0ba902b7-01",
  "timestamp": "2026-10-26T00:00:00Z"
}</t>
        </is>
      </c>
      <c r="G124" t="inlineStr">
        <is>
          <t>400 VALIDATION_ERROR: Price must be &gt; 0, attribute names mismatch with existing variants, or invalid productid.
401 UNAUTHORIZED: Token is missing, expired, or invalid.
403 FORBIDDEN: You are not the owner of this product and not an administrator.
404 PRODUCT_NOT_FOUND: Product was not found or has been deleted.
409 SKU_CODE_DUPLICATED: Skucode already exists on an active variant.
409 AUCTION_PRODUCT_SINGLE_VARIANT: Auction products cannot have additional variants.</t>
        </is>
      </c>
      <c r="H124" s="163"/>
      <c r="I124" s="190" t="s">
        <v>338</v>
      </c>
      <c r="J124" s="189"/>
      <c r="K124" s="189"/>
      <c r="L124" s="189"/>
      <c r="M124" s="189"/>
      <c r="N124" s="189"/>
      <c r="O124" s="189"/>
      <c r="P124" s="12"/>
      <c r="Q124" s="12"/>
      <c r="R124" s="12"/>
      <c r="S124" s="12"/>
      <c r="T124" s="12"/>
      <c r="U124" s="12"/>
      <c r="V124" s="12"/>
      <c r="W124" s="12"/>
      <c r="X124" s="12"/>
      <c r="Y124" s="12"/>
      <c r="Z124" s="12"/>
      <c r="AA124" s="12"/>
    </row>
    <row r="125">
      <c r="A125" s="186"/>
      <c r="B125" s="187" t="s">
        <v>846</v>
      </c>
      <c r="C125" s="188" t="s">
        <v>2854</v>
      </c>
      <c r="D125" s="188" t="s">
        <v>2855</v>
      </c>
      <c r="E125" s="188" t="s">
        <v>2857</v>
      </c>
      <c r="F125" t="inlineStr">
        <is>
          <t>204 No Content</t>
        </is>
      </c>
      <c r="G125" t="inlineStr">
        <is>
          <t>400 VALIDATION_ERROR: Variantid is not a valid UUID format.
401 UNAUTHORIZED: Token is missing, expired, or invalid.
403 FORBIDDEN: You are not the owner of this product and not an administrator.
404 VARIANT_NOT_FOUND: Variant was not found or has been deleted.
409 LAST_VARIANT: Cannot delete the last remaining variant of a product.
409 VARIANT_HAS_ORDER: Variant has existing orders, please change status to inactive instead.</t>
        </is>
      </c>
      <c r="H125" s="163"/>
      <c r="I125" s="187" t="s">
        <v>469</v>
      </c>
      <c r="J125" s="186"/>
      <c r="K125" s="186"/>
      <c r="L125" s="186"/>
      <c r="M125" s="186"/>
      <c r="N125" s="186"/>
      <c r="O125" s="186"/>
      <c r="P125" s="12"/>
      <c r="Q125" s="12"/>
      <c r="R125" s="12"/>
      <c r="S125" s="12"/>
      <c r="T125" s="12"/>
      <c r="U125" s="12"/>
      <c r="V125" s="12"/>
      <c r="W125" s="12"/>
      <c r="X125" s="12"/>
      <c r="Y125" s="12"/>
      <c r="Z125" s="12"/>
      <c r="AA125" s="12"/>
    </row>
    <row r="126">
      <c r="A126" s="189"/>
      <c r="B126" s="190" t="s">
        <v>644</v>
      </c>
      <c r="C126" s="191" t="s">
        <v>2854</v>
      </c>
      <c r="D126" s="191" t="s">
        <v>2862</v>
      </c>
      <c r="E126" s="191" t="s">
        <v>2863</v>
      </c>
      <c r="F126" t="inlineStr">
        <is>
          <t>200 OK:
{
  "success": true,
  "statusCode": 200,
  "data": {
    "variantId": "uuid",
    "productId": "uuid",
    "skuCode": "string",
    "name": "string",
    "price": "decimal | null",
    "currency": "string",
    "status": "ACTIVE|INACTIVE",
    "attributes": [
      {
        "attrName": "string",
        "attrValue": "string"
      }
    ],
    "updatedAt": "datetime"
  },
  "traceId": "00-4bf92f3577b34da6a3ce929d0e0e4736-00f067aa0ba902b7-01",
  "timestamp": "2026-10-26T00:00:00Z"
}</t>
        </is>
      </c>
      <c r="G126" t="inlineStr">
        <is>
          <t>400 VALIDATION_ERROR: Empty update payload, invalid price for saletype, or attribute names mismatch.
400 PRICE_REQUIRED: Active regular product must have a valid price.
401 UNAUTHORIZED: Token is missing, expired, or invalid.
403 FORBIDDEN: You are not the owner of this product and not an administrator.
404 VARIANT_NOT_FOUND: Variant was not found or has been deleted.</t>
        </is>
      </c>
      <c r="H126" s="163"/>
      <c r="I126" s="190" t="s">
        <v>375</v>
      </c>
      <c r="J126" s="190" t="s">
        <v>2729</v>
      </c>
      <c r="K126" s="189"/>
      <c r="L126" s="189"/>
      <c r="M126" s="189"/>
      <c r="N126" s="189"/>
      <c r="O126" s="189"/>
      <c r="P126" s="12"/>
      <c r="Q126" s="12"/>
      <c r="R126" s="12"/>
      <c r="S126" s="12"/>
      <c r="T126" s="12"/>
      <c r="U126" s="12"/>
      <c r="V126" s="12"/>
      <c r="W126" s="12"/>
      <c r="X126" s="12"/>
      <c r="Y126" s="12"/>
      <c r="Z126" s="12"/>
      <c r="AA126" s="12"/>
    </row>
    <row r="127">
      <c r="A127" s="186"/>
      <c r="B127" s="187" t="s">
        <v>810</v>
      </c>
      <c r="C127" s="188" t="s">
        <v>2854</v>
      </c>
      <c r="D127" s="188" t="s">
        <v>2866</v>
      </c>
      <c r="E127" s="188" t="s">
        <v>2867</v>
      </c>
      <c r="F127" t="inlineStr">
        <is>
          <t>200 OK:
{
  "success": true,
  "statusCode": 200,
  "data": {
    "variantId": "uuid",
    "productId": "uuid",
    "skuCode": "string",
    "name": "string",
    "price": "decimal | null",
    "currency": "string",
    "status": "ACTIVE|INACTIVE",
    "statusReason": "OUT_OF_STOCK|DISCONTINUED|OTHER | null",
    "isDefault": "boolean",
    "hasOrder": "boolean",
    "attributes": [
      {
        "attrName": "string",
        "attrValue": "string"
      }
    ],
    "images": [
      {
        "imageId": "uuid",
        "url": "string",
        "isActive": "boolean"
      }
    ]
  },
  "traceId": "00-4bf92f3577b34da6a3ce929d0e0e4736-00f067aa0ba902b7-01",
  "timestamp": "2026-10-26T00:00:00Z"
}</t>
        </is>
      </c>
      <c r="G127" t="inlineStr">
        <is>
          <t>400 VALIDATION_ERROR: Variantid is not a valid UUID format.
401 UNAUTHORIZED: Token is missing, expired, or invalid.
403 FORBIDDEN: You are not the owner of this product and not an administrator.
404 VARIANT_NOT_FOUND: Variant was not found or has been deleted.</t>
        </is>
      </c>
      <c r="H127" s="163"/>
      <c r="I127" s="187" t="s">
        <v>1659</v>
      </c>
      <c r="J127" s="187" t="s">
        <v>2870</v>
      </c>
      <c r="K127" s="186"/>
      <c r="L127" s="186"/>
      <c r="M127" s="186"/>
      <c r="N127" s="186"/>
      <c r="O127" s="186"/>
      <c r="P127" s="12"/>
      <c r="Q127" s="12"/>
      <c r="R127" s="12"/>
      <c r="S127" s="12"/>
      <c r="T127" s="12"/>
      <c r="U127" s="12"/>
      <c r="V127" s="12"/>
      <c r="W127" s="12"/>
      <c r="X127" s="12"/>
      <c r="Y127" s="12"/>
      <c r="Z127" s="12"/>
      <c r="AA127" s="12"/>
    </row>
    <row r="128">
      <c r="A128" s="189"/>
      <c r="B128" s="190" t="s">
        <v>53</v>
      </c>
      <c r="C128" s="191" t="s">
        <v>2871</v>
      </c>
      <c r="D128" s="191" t="s">
        <v>2872</v>
      </c>
      <c r="E128" s="191" t="s">
        <v>2873</v>
      </c>
      <c r="F128" t="inlineStr">
        <is>
          <t>200 OK:
{
  "success": true,
  "statusCode": 200,
  "data": {
    "skuId": "uuid",
    "addedQuantity": "int",
    "stockQuantity": "int"
  },
  "traceId": "00-4bf92f3577b34da6a3ce929d0e0e4736-00f067aa0ba902b7-01",
  "timestamp": "2026-10-26T00:00:00Z"
}</t>
        </is>
      </c>
      <c r="G128" t="inlineStr">
        <is>
          <t>400 VALIDATION_ERROR: Quantity must be greater than zero or invalid variantid format.
401 UNAUTHORIZED: Token is missing, expired, or invalid.
403 FORBIDDEN: Variant does not belong to a product owned by the calling seller.
404 VARIANT_NOT_FOUND: Variant was not found or has been deleted.
503 CATALOG_UNAVAILABLE: Fulfillment service failed to communicate with catalog service.</t>
        </is>
      </c>
      <c r="H128" s="163"/>
      <c r="I128" s="190" t="s">
        <v>748</v>
      </c>
      <c r="J128" s="190" t="s">
        <v>2729</v>
      </c>
      <c r="K128" s="189"/>
      <c r="L128" s="189"/>
      <c r="M128" s="189"/>
      <c r="N128" s="189"/>
      <c r="O128" s="189"/>
      <c r="P128" s="12"/>
      <c r="Q128" s="12"/>
      <c r="R128" s="12"/>
      <c r="S128" s="12"/>
      <c r="T128" s="12"/>
      <c r="U128" s="12"/>
      <c r="V128" s="12"/>
      <c r="W128" s="12"/>
      <c r="X128" s="12"/>
      <c r="Y128" s="12"/>
      <c r="Z128" s="12"/>
      <c r="AA128" s="12"/>
    </row>
    <row r="129">
      <c r="A129" s="186"/>
      <c r="B129" s="187" t="s">
        <v>810</v>
      </c>
      <c r="C129" s="188" t="s">
        <v>2876</v>
      </c>
      <c r="D129" s="188" t="s">
        <v>2877</v>
      </c>
      <c r="E129" s="188" t="s">
        <v>2878</v>
      </c>
      <c r="F129" t="inlineStr">
        <is>
          <t>200 OK:
{
  "success": true,
  "statusCode": 200,
  "data": {
    "items": [
      {
        "categoryId": "uuid",
        "name": "string",
        "level": "int (1..3)",
        "sortOrder": "int",
        "children": "[ ... cùng cấu trúc, chỉ có khi Tree = true ]"
      }
    ],
    "pagination": {
      "pageIndex": 1,
      "pageSize": 20,
      "totalCount": 100,
      "totalPages": 5,
      "hasPreviousPage": false,
      "hasNextPage": true
    }
  },
  "traceId": "00-4bf92f3577b34da6a3ce929d0e0e4736-00f067aa0ba902b7-01",
  "timestamp": "2026-10-26T00:00:00Z"
}</t>
        </is>
      </c>
      <c r="G129" t="inlineStr">
        <is>
          <t>400 VALIDATION_ERROR: Invalid parentid UUID format or tree parameter must be boolean.
404 PARENT_NOT_FOUND: Parent category was not found or has been deleted.</t>
        </is>
      </c>
      <c r="H129" s="163"/>
      <c r="I129" s="187" t="s">
        <v>666</v>
      </c>
      <c r="J129" s="186"/>
      <c r="K129" s="186"/>
      <c r="L129" s="186"/>
      <c r="M129" s="186"/>
      <c r="N129" s="186"/>
      <c r="O129" s="186"/>
      <c r="P129" s="12"/>
      <c r="Q129" s="12"/>
      <c r="R129" s="12"/>
      <c r="S129" s="12"/>
      <c r="T129" s="12"/>
      <c r="U129" s="12"/>
      <c r="V129" s="12"/>
      <c r="W129" s="12"/>
      <c r="X129" s="12"/>
      <c r="Y129" s="12"/>
      <c r="Z129" s="12"/>
      <c r="AA129" s="12"/>
    </row>
    <row r="130">
      <c r="A130" s="189"/>
      <c r="B130" s="190" t="s">
        <v>53</v>
      </c>
      <c r="C130" s="191" t="s">
        <v>2876</v>
      </c>
      <c r="D130" s="191" t="s">
        <v>2881</v>
      </c>
      <c r="E130" s="191" t="s">
        <v>2882</v>
      </c>
      <c r="F130" t="inlineStr">
        <is>
          <t>201 Created:
{
  "success": true,
  "statusCode": 201,
  "data": {
    "categoryId": "uuid",
    "level": "int (1..3)"
  },
  "traceId": "00-4bf92f3577b34da6a3ce929d0e0e4736-00f067aa0ba902b7-01",
  "timestamp": "2026-10-26T00:00:00Z"
}</t>
        </is>
      </c>
      <c r="G130" t="inlineStr">
        <is>
          <t>400 VALIDATION_ERROR: Category name is empty or parentid is not a valid UUID.
400 CATEGORY_LEVEL_EXCEEDED: Category hierarchy level exceeds maximum limit of 3.
401 UNAUTHORIZED: Token is missing, expired, or invalid.
403 FORBIDDEN: Only administrators can perform this action.
404 PARENT_NOT_FOUND: Parent category was not found or has been deleted.
409 CATEGORY_NAME_DUPLICATED: Category name already exists under the same parent category.</t>
        </is>
      </c>
      <c r="H130" s="163"/>
      <c r="I130" s="190" t="s">
        <v>577</v>
      </c>
      <c r="J130" s="189"/>
      <c r="K130" s="189"/>
      <c r="L130" s="189"/>
      <c r="M130" s="189"/>
      <c r="N130" s="189"/>
      <c r="O130" s="189"/>
      <c r="P130" s="12"/>
      <c r="Q130" s="12"/>
      <c r="R130" s="12"/>
      <c r="S130" s="12"/>
      <c r="T130" s="12"/>
      <c r="U130" s="12"/>
      <c r="V130" s="12"/>
      <c r="W130" s="12"/>
      <c r="X130" s="12"/>
      <c r="Y130" s="12"/>
      <c r="Z130" s="12"/>
      <c r="AA130" s="12"/>
    </row>
    <row r="131">
      <c r="A131" s="186"/>
      <c r="B131" s="187" t="s">
        <v>590</v>
      </c>
      <c r="C131" s="188" t="s">
        <v>2885</v>
      </c>
      <c r="D131" s="188" t="s">
        <v>2886</v>
      </c>
      <c r="E131" s="188" t="s">
        <v>2887</v>
      </c>
      <c r="F131" t="inlineStr">
        <is>
          <t>200 OK:
{
  "success": true,
  "statusCode": 200,
  "data": {
    "categoryId": "uuid",
    "parentId": "uuid | null",
    "name": "string",
    "description": "string",
    "level": "int (1..3)",
    "sortOrder": "int",
    "isActive": "boolean",
    "updatedAt": "datetime"
  },
  "traceId": "00-4bf92f3577b34da6a3ce929d0e0e4736-00f067aa0ba902b7-01",
  "timestamp": "2026-10-26T00:00:00Z"
}</t>
        </is>
      </c>
      <c r="G131" t="inlineStr">
        <is>
          <t>400 VALIDATION_ERROR: Empty update payload, category name is empty, or invalid category ID.
400 CATEGORY_LEVEL_EXCEEDED: Subtree depth exceeds maximum allowed level of 3 after move.
401 UNAUTHORIZED: Token is missing, expired, or invalid.
403 FORBIDDEN: Only administrators can perform this action.
404 CATEGORY_NOT_FOUND: Category was not found or has been deleted.
404 PARENT_NOT_FOUND: New parent category was not found or has been deleted.
409 CATEGORY_NAME_DUPLICATED: Category name already exists under the same parent category.
409 CATEGORY_CYCLE: Cannot move category into its own descendant hierarchy.</t>
        </is>
      </c>
      <c r="H131" s="163"/>
      <c r="I131" s="187" t="s">
        <v>602</v>
      </c>
      <c r="J131" s="186"/>
      <c r="K131" s="186"/>
      <c r="L131" s="186"/>
      <c r="M131" s="186"/>
      <c r="N131" s="186"/>
      <c r="O131" s="186"/>
      <c r="P131" s="12"/>
      <c r="Q131" s="12"/>
      <c r="R131" s="12"/>
      <c r="S131" s="12"/>
      <c r="T131" s="12"/>
      <c r="U131" s="12"/>
      <c r="V131" s="12"/>
      <c r="W131" s="12"/>
      <c r="X131" s="12"/>
      <c r="Y131" s="12"/>
      <c r="Z131" s="12"/>
      <c r="AA131" s="12"/>
    </row>
    <row r="132">
      <c r="A132" s="189"/>
      <c r="B132" s="190" t="s">
        <v>846</v>
      </c>
      <c r="C132" s="191" t="s">
        <v>2876</v>
      </c>
      <c r="D132" s="191" t="s">
        <v>2890</v>
      </c>
      <c r="E132" s="191" t="s">
        <v>2891</v>
      </c>
      <c r="F132" t="inlineStr">
        <is>
          <t>204 No Content</t>
        </is>
      </c>
      <c r="G132" t="inlineStr">
        <is>
          <t>400 VALIDATION_ERROR: Categoryid is not a valid UUID format.
401 UNAUTHORIZED: Token is missing, expired, or invalid.
403 FORBIDDEN: Only administrators can perform this action.
404 CATEGORY_NOT_FOUND: Category was not found or has been deleted.
409 CATEGORY_HAS_PRODUCTS: Category still contains products.
409 CATEGORY_HAS_CHILDREN: Category still contains sub-categories.</t>
        </is>
      </c>
      <c r="H132" s="163"/>
      <c r="I132" s="190" t="s">
        <v>624</v>
      </c>
      <c r="J132" s="189"/>
      <c r="K132" s="189"/>
      <c r="L132" s="189"/>
      <c r="M132" s="189"/>
      <c r="N132" s="189"/>
      <c r="O132" s="189"/>
      <c r="P132" s="12"/>
      <c r="Q132" s="12"/>
      <c r="R132" s="12"/>
      <c r="S132" s="12"/>
      <c r="T132" s="12"/>
      <c r="U132" s="12"/>
      <c r="V132" s="12"/>
      <c r="W132" s="12"/>
      <c r="X132" s="12"/>
      <c r="Y132" s="12"/>
      <c r="Z132" s="12"/>
      <c r="AA132" s="12"/>
    </row>
    <row r="133">
      <c r="A133" s="186"/>
      <c r="B133" s="187" t="s">
        <v>810</v>
      </c>
      <c r="C133" s="188" t="s">
        <v>2885</v>
      </c>
      <c r="D133" s="188" t="s">
        <v>2894</v>
      </c>
      <c r="E133" s="188" t="s">
        <v>2895</v>
      </c>
      <c r="F133" t="inlineStr">
        <is>
          <t>200 OK:
{
  "success": true,
  "statusCode": 200,
  "data": {
    "category": {
      "categoryId": "uuid",
      "parentId": "uuid | null",
      "name": "string",
      "description": "string",
      "level": "int (1..3)",
      "sortOrder": "int",
      "isActive": "boolean"
    },
    "parent": "{ CategoryId, Name, Level } | null (null nếu là danh mục gốc)",
    "children": [
      {
        "categoryId": "uuid",
        "name": "string",
        "level": "int"
      }
    ]
  },
  "traceId": "00-4bf92f3577b34da6a3ce929d0e0e4736-00f067aa0ba902b7-01",
  "timestamp": "2026-10-26T00:00:00Z"
}</t>
        </is>
      </c>
      <c r="G133" t="inlineStr">
        <is>
          <t>400 VALIDATION_ERROR: Categoryid is not a valid UUID format.
404 CATEGORY_NOT_FOUND: Category was not found or has been deleted.</t>
        </is>
      </c>
      <c r="H133" s="163"/>
      <c r="I133" s="187" t="s">
        <v>643</v>
      </c>
      <c r="J133" s="186"/>
      <c r="K133" s="186"/>
      <c r="L133" s="186"/>
      <c r="M133" s="186"/>
      <c r="N133" s="186"/>
      <c r="O133" s="186"/>
      <c r="P133" s="12"/>
      <c r="Q133" s="12"/>
      <c r="R133" s="12"/>
      <c r="S133" s="12"/>
      <c r="T133" s="12"/>
      <c r="U133" s="12"/>
      <c r="V133" s="12"/>
      <c r="W133" s="12"/>
      <c r="X133" s="12"/>
      <c r="Y133" s="12"/>
      <c r="Z133" s="12"/>
      <c r="AA133" s="12"/>
    </row>
    <row r="134">
      <c r="A134" s="189"/>
      <c r="B134" s="190" t="s">
        <v>2898</v>
      </c>
      <c r="C134" s="191" t="s">
        <v>2899</v>
      </c>
      <c r="D134" s="191" t="s">
        <v>2900</v>
      </c>
      <c r="E134" s="191" t="s">
        <v>2901</v>
      </c>
      <c r="F134" t="inlineStr">
        <is>
          <t>201 Created:
{
  "success": true,
  "statusCode": 201,
  "data": {
    "productId": "uuid",
    "status": "DRAFT",
    "saleType": "AUCTION",
    "variant": {
      "variantId": "uuid",
      "skuCode": "string"
    }
  },
  "traceId": "00-4bf92f3577b34da6a3ce929d0e0e4736-00f067aa0ba902b7-01",
  "timestamp": "2026-10-26T00:00:00Z"
}</t>
        </is>
      </c>
      <c r="G134" t="inlineStr">
        <is>
          <t>400 VALIDATION_ERROR: Name is empty, variant definition invalid, or unexpected price field for auction product.
400 CATEGORY_INVALID: Specified categoryid does not exist, is deactivated, or deleted.
401 UNAUTHORIZED: Token is missing, expired, or invalid.
403 SELLER_NOT_ALLOWED: Account is not an approved seller or has insufficient reputation for auctions.
409 SKU_CODE_DUPLICATED: Skucode already exists on an active variant.
503 USER_SERVICE_UNAVAILABLE: Failed to verify seller account with user service.</t>
        </is>
      </c>
      <c r="H134" s="163"/>
      <c r="I134" s="190" t="s">
        <v>1673</v>
      </c>
      <c r="J134" s="190" t="s">
        <v>2904</v>
      </c>
      <c r="K134" s="189"/>
      <c r="L134" s="189"/>
      <c r="M134" s="189"/>
      <c r="N134" s="189"/>
      <c r="O134" s="189"/>
      <c r="P134" s="12"/>
      <c r="Q134" s="12"/>
      <c r="R134" s="12"/>
      <c r="S134" s="12"/>
      <c r="T134" s="12"/>
      <c r="U134" s="12"/>
      <c r="V134" s="12"/>
      <c r="W134" s="12"/>
      <c r="X134" s="12"/>
      <c r="Y134" s="12"/>
      <c r="Z134" s="12"/>
      <c r="AA134" s="12"/>
    </row>
    <row r="135">
      <c r="A135" s="186"/>
      <c r="B135" s="187" t="s">
        <v>810</v>
      </c>
      <c r="C135" s="188" t="s">
        <v>2905</v>
      </c>
      <c r="D135" s="188" t="s">
        <v>2906</v>
      </c>
      <c r="E135" s="188" t="s">
        <v>2907</v>
      </c>
      <c r="F135" t="inlineStr">
        <is>
          <t>200 OK:
{
  "success": true,
  "statusCode": 200,
  "data": {
    "items": [
      {
        "productId": "uuid",
        "name": "string",
        "brand": "string",
        "saleType": "REGULAR|AUCTION",
        "minPrice": "decimal | null",
        "maxPrice": "decimal | null",
        "primaryImageUrl": "string | null",
        "avgRating": "decimal | null",
        "status": "DRAFT|ACTIVE|INACTIVE",
        "auctionStatus": "DRAFT|SCHEDULED|RUNNING|ENDED|SETTLED|FAILED|CANCELLED | null",
        "isOpen": "boolean | null",
        "isSold": "boolean | null"
      }
    ],
    "pagination": {
      "pageIndex": 1,
      "pageSize": 20,
      "totalCount": 100,
      "totalPages": 5,
      "hasPreviousPage": false,
      "hasNextPage": true
    }
  },
  "traceId": "00-4bf92f3577b34da6a3ce929d0e0e4736-00f067aa0ba902b7-01",
  "timestamp": "2026-10-26T00:00:00Z"
}</t>
        </is>
      </c>
      <c r="G135" t="inlineStr">
        <is>
          <t>400 VALIDATION_ERROR: Invalid pagination, sortBy parameter, or invalid categoryid format.
401 UNAUTHORIZED: Token is missing, expired, or invalid.
403 FORBIDDEN: Only sellers or administrators can perform this action.</t>
        </is>
      </c>
      <c r="H135" s="163"/>
      <c r="I135" s="187" t="s">
        <v>2704</v>
      </c>
      <c r="J135" s="187" t="s">
        <v>1592</v>
      </c>
      <c r="K135" s="186"/>
      <c r="L135" s="186"/>
      <c r="M135" s="186"/>
      <c r="N135" s="186"/>
      <c r="O135" s="186"/>
      <c r="P135" s="12"/>
      <c r="Q135" s="12"/>
      <c r="R135" s="12"/>
      <c r="S135" s="12"/>
      <c r="T135" s="12"/>
      <c r="U135" s="12"/>
      <c r="V135" s="12"/>
      <c r="W135" s="12"/>
      <c r="X135" s="12"/>
      <c r="Y135" s="12"/>
      <c r="Z135" s="12"/>
      <c r="AA135" s="12"/>
    </row>
    <row r="136">
      <c r="A136" s="189"/>
      <c r="B136" s="190" t="s">
        <v>810</v>
      </c>
      <c r="C136" s="191" t="s">
        <v>2909</v>
      </c>
      <c r="D136" s="191" t="s">
        <v>2910</v>
      </c>
      <c r="E136" s="191" t="s">
        <v>2911</v>
      </c>
      <c r="F136" t="inlineStr">
        <is>
          <t>200 OK:
{
  "success": true,
  "statusCode": 200,
  "data": {
    "items": [
      {
        "productId": "uuid",
        "name": "string",
        "brand": "string",
        "saleType": "REGULAR|AUCTION",
        "minPrice": "decimal | null",
        "maxPrice": "decimal | null",
        "primaryImageUrl": "string | null",
        "avgRating": "decimal | null",
        "status": "DRAFT|ACTIVE|INACTIVE",
        "auctionStatus": "DRAFT|SCHEDULED|RUNNING|ENDED|SETTLED|FAILED|CANCELLED | null",
        "isOpen": "boolean | null",
        "isSold": "boolean | null"
      }
    ],
    "pagination": {
      "pageIndex": 1,
      "pageSize": 20,
      "totalCount": 100,
      "totalPages": 5,
      "hasPreviousPage": false,
      "hasNextPage": true
    }
  },
  "traceId": "00-4bf92f3577b34da6a3ce929d0e0e4736-00f067aa0ba902b7-01",
  "timestamp": "2026-10-26T00:00:00Z"
}</t>
        </is>
      </c>
      <c r="G136" t="inlineStr">
        <is>
          <t>400 VALIDATION_ERROR: Page and pageSize parameters must be positive integers.
401 UNAUTHORIZED: Token is missing, expired, or invalid.
403 FORBIDDEN: Only sellers or administrators can perform this action.</t>
        </is>
      </c>
      <c r="H136" s="163"/>
      <c r="I136" s="190" t="s">
        <v>292</v>
      </c>
      <c r="J136" s="190" t="s">
        <v>1592</v>
      </c>
      <c r="K136" s="189"/>
      <c r="L136" s="189"/>
      <c r="M136" s="189"/>
      <c r="N136" s="189"/>
      <c r="O136" s="189"/>
      <c r="P136" s="12"/>
      <c r="Q136" s="12"/>
      <c r="R136" s="12"/>
      <c r="S136" s="12"/>
      <c r="T136" s="12"/>
      <c r="U136" s="12"/>
      <c r="V136" s="12"/>
      <c r="W136" s="12"/>
      <c r="X136" s="12"/>
      <c r="Y136" s="12"/>
      <c r="Z136" s="12"/>
      <c r="AA136" s="12"/>
    </row>
    <row r="137">
      <c r="A137" s="186"/>
      <c r="B137" s="187" t="s">
        <v>810</v>
      </c>
      <c r="C137" s="188" t="s">
        <v>2913</v>
      </c>
      <c r="D137" s="188" t="s">
        <v>2914</v>
      </c>
      <c r="E137" s="188" t="s">
        <v>2915</v>
      </c>
      <c r="F137" t="inlineStr">
        <is>
          <t>200 OK:
{
  "success": true,
  "statusCode": 200,
  "data": {
    "auction": {
      "auctionId": "uuid",
      "status": "DRAFT|SCHEDULED|RUNNING|ENDED|SETTLED|FAILED|CANCELLED",
      "startingPriceAmount": "number",
      "bidStepAmount": "number",
      "currentPriceAmount": "number | null",
      "currentLeadingBidderMasked": "string | null",
      "bidCount": "int",
      "startsAt": "datetime",
      "endsAt": "datetime",
      "extensionCount": "int"
    },
    "product": "(như dòng 111, CAT-05: Product, Category, Variants, Images, Rating)"
  },
  "traceId": "00-4bf92f3577b34da6a3ce929d0e0e4736-00f067aa0ba902b7-01",
  "timestamp": "2026-10-26T00:00:00Z"
}</t>
        </is>
      </c>
      <c r="G137" t="inlineStr">
        <is>
          <t>400 VALIDATION_ERROR: Auctionid is not a valid UUID format.
401 UNAUTHORIZED: Token is missing, expired, or invalid.
403 FORBIDDEN: You are not the seller of this auction and not an administrator.
404 AUCTION_NOT_FOUND: Auction was not found.
404 PRODUCT_NOT_FOUND: Product associated with this auction no longer exists.
503 AUCTION_SERVICE_UNAVAILABLE: Auction service is currently unavailable.</t>
        </is>
      </c>
      <c r="H137" s="163"/>
      <c r="I137" s="187" t="s">
        <v>254</v>
      </c>
      <c r="J137" s="187" t="s">
        <v>1616</v>
      </c>
      <c r="K137" s="186"/>
      <c r="L137" s="186"/>
      <c r="M137" s="186"/>
      <c r="N137" s="186"/>
      <c r="O137" s="186"/>
      <c r="P137" s="12"/>
      <c r="Q137" s="12"/>
      <c r="R137" s="12"/>
      <c r="S137" s="12"/>
      <c r="T137" s="12"/>
      <c r="U137" s="12"/>
      <c r="V137" s="12"/>
      <c r="W137" s="12"/>
      <c r="X137" s="12"/>
      <c r="Y137" s="12"/>
      <c r="Z137" s="12"/>
      <c r="AA137" s="12"/>
    </row>
    <row r="138">
      <c r="A138" s="219" t="s">
        <v>2918</v>
      </c>
      <c r="P138" s="7"/>
      <c r="Q138" s="7"/>
      <c r="R138" s="7"/>
      <c r="S138" s="7"/>
      <c r="T138" s="7"/>
      <c r="U138" s="7"/>
      <c r="V138" s="7"/>
      <c r="W138" s="7"/>
      <c r="X138" s="7"/>
      <c r="Y138" s="7"/>
      <c r="Z138" s="7"/>
      <c r="AA138" s="7"/>
    </row>
    <row r="139">
      <c r="A139" s="220" t="s">
        <v>0</v>
      </c>
      <c r="B139" s="221" t="s">
        <v>19</v>
      </c>
      <c r="C139" s="222" t="s">
        <v>20</v>
      </c>
      <c r="D139" s="222" t="s">
        <v>4</v>
      </c>
      <c r="E139" s="222" t="s">
        <v>6</v>
      </c>
      <c r="F139" t="inlineStr">
        <is>
          <t>Response</t>
        </is>
      </c>
      <c r="G139" t="inlineStr">
        <is>
          <t>Error.</t>
        </is>
      </c>
      <c r="H139" s="118" t="s">
        <v>25</v>
      </c>
      <c r="I139" s="224">
        <v>1.0</v>
      </c>
      <c r="J139" s="224">
        <v>2.0</v>
      </c>
      <c r="K139" s="224">
        <v>3.0</v>
      </c>
      <c r="L139" s="224">
        <v>4.0</v>
      </c>
      <c r="M139" s="224">
        <v>5.0</v>
      </c>
      <c r="N139" s="224">
        <v>6.0</v>
      </c>
      <c r="O139" s="224">
        <v>7.0</v>
      </c>
      <c r="P139" s="7"/>
      <c r="Q139" s="7"/>
      <c r="R139" s="7"/>
      <c r="S139" s="7"/>
      <c r="T139" s="7"/>
      <c r="U139" s="7"/>
      <c r="V139" s="7"/>
      <c r="W139" s="7"/>
      <c r="X139" s="7"/>
      <c r="Y139" s="7"/>
      <c r="Z139" s="7"/>
      <c r="AA139" s="7"/>
    </row>
    <row r="140">
      <c r="A140" s="145"/>
      <c r="B140" s="188" t="s">
        <v>810</v>
      </c>
      <c r="C140" s="188" t="s">
        <v>2919</v>
      </c>
      <c r="D140" s="188" t="s">
        <v>2920</v>
      </c>
      <c r="E140" s="188" t="s">
        <v>2921</v>
      </c>
      <c r="F140" t="inlineStr">
        <is>
          <t>200 OK:
{
  "success": true,
  "statusCode": 200,
  "data": {
    "items": [
      {
        "auctionId": "UUID",
        "productId": "UUID",
        "skuId": "UUID",
        "sellerId": "UUID",
        "productName": "string",
        "primaryImageUrl": "string | null",
        "status": "AuctionStatus",
        "startPriceAmount": "number",
        "currentPriceAmount": "number | null",
        "bidCount": "int",
        "scheduledStartAt": "datetime",
        "scheduledEndAt": "datetime"
      }
    ],
    "pagination": {
      "pageIndex": 1,
      "pageSize": 20,
      "totalCount": 100,
      "totalPages": 5,
      "hasPreviousPage": false,
      "hasNextPage": true
    }
  },
  "traceId": "00-4bf92f3577b34da6a3ce929d0e0e4736-00f067aa0ba902b7-01",
  "timestamp": "2026-10-26T00:00:00Z"
}</t>
        </is>
      </c>
      <c r="G140" t="inlineStr">
        <is>
          <t>400 VALIDATION_ERROR: Invalid pagination parameters or status is not a valid auctionstatus enum.</t>
        </is>
      </c>
      <c r="H140" s="225"/>
      <c r="I140" s="226" t="s">
        <v>936</v>
      </c>
      <c r="J140" s="226" t="s">
        <v>2924</v>
      </c>
      <c r="K140" s="111"/>
      <c r="L140" s="128"/>
      <c r="M140" s="111"/>
      <c r="N140" s="111"/>
      <c r="O140" s="111"/>
      <c r="P140" s="7"/>
      <c r="Q140" s="7"/>
      <c r="R140" s="7"/>
      <c r="S140" s="7"/>
      <c r="T140" s="7"/>
      <c r="U140" s="7"/>
      <c r="V140" s="7"/>
      <c r="W140" s="7"/>
      <c r="X140" s="7"/>
      <c r="Y140" s="7"/>
      <c r="Z140" s="7"/>
      <c r="AA140" s="7"/>
    </row>
    <row r="141">
      <c r="A141" s="227"/>
      <c r="B141" s="228" t="s">
        <v>810</v>
      </c>
      <c r="C141" s="229" t="s">
        <v>2925</v>
      </c>
      <c r="D141" s="229" t="s">
        <v>2926</v>
      </c>
      <c r="E141" s="229" t="s">
        <v>2927</v>
      </c>
      <c r="F141" t="inlineStr">
        <is>
          <t>200 OK:
{
  "success": true,
  "statusCode": 200,
  "data": {
    "auctionId": "UUID",
    "productId": "UUID",
    "skuId": "UUID",
    "sellerId": "UUID",
    "productName": "string",
    "description": "string | null",
    "images": [
      {
        "url": "string",
        "isPrimary": "boolean"
      }
    ],
    "specifications": "object | null",
    "status": "AuctionStatus",
    "startPriceAmount": "number",
    "bidStepAmount": "number",
    "currentPriceAmount": "number | null",
    "bidCount": "int",
    "leadingBidderDisplayName": "string | null",
    "scheduledStartAt": "datetime",
    "originalEndAt": "datetime",
    "scheduledEndAt": "datetime",
    "startedAt": "datetime | null",
    "endedAt": "datetime | null",
    "extensionCount": "int",
    "maxExtensionCount": "int",
    "antiSnipingExtensionMinutes": "int",
    "minReputationToBid": "int",
    "recreatedFromAuctionId": "UUID | null",
    "createdAt": "datetime"
  },
  "traceId": "00-4bf92f3577b34da6a3ce929d0e0e4736-00f067aa0ba902b7-01",
  "timestamp": "2026-10-26T00:00:00Z"
}</t>
        </is>
      </c>
      <c r="G141" t="inlineStr">
        <is>
          <t>400 VALIDATION_ERROR: Auctionid is not a valid UUID format.
404 AUCTION_NOT_FOUND: Auction was not found.</t>
        </is>
      </c>
      <c r="H141" s="225"/>
      <c r="I141" s="228" t="s">
        <v>979</v>
      </c>
      <c r="J141" s="228" t="s">
        <v>254</v>
      </c>
      <c r="K141" s="227"/>
      <c r="L141" s="230"/>
      <c r="M141" s="230"/>
      <c r="N141" s="230"/>
      <c r="O141" s="230"/>
      <c r="P141" s="7"/>
      <c r="Q141" s="7"/>
      <c r="R141" s="7"/>
      <c r="S141" s="7"/>
      <c r="T141" s="7"/>
      <c r="U141" s="7"/>
      <c r="V141" s="7"/>
      <c r="W141" s="7"/>
      <c r="X141" s="7"/>
      <c r="Y141" s="7"/>
      <c r="Z141" s="7"/>
      <c r="AA141" s="7"/>
    </row>
    <row r="142">
      <c r="A142" s="145"/>
      <c r="B142" s="226" t="s">
        <v>53</v>
      </c>
      <c r="C142" s="188" t="s">
        <v>2919</v>
      </c>
      <c r="D142" s="188" t="s">
        <v>2930</v>
      </c>
      <c r="E142" s="188" t="s">
        <v>2931</v>
      </c>
      <c r="F142" t="inlineStr">
        <is>
          <t>201 Created:
{
  "success": true,
  "statusCode": 201,
  "data": {
    "auctionId": "UUID",
    "productId": "UUID",
    "skuId": "UUID",
    "productName": "string",
    "status": "SCHEDULED",
    "startPriceAmount": "number",
    "bidStepAmount": "number",
    "scheduledStartAt": "datetime",
    "scheduledEndAt": "datetime",
    "minReputationToBid": "int",
    "antiSnipingExtensionMinutes": "int",
    "maxExtensionCount": "int",
    "createdAt": "datetime"
  },
  "traceId": "00-4bf92f3577b34da6a3ce929d0e0e4736-00f067aa0ba902b7-01",
  "timestamp": "2026-10-26T00:00:00Z"
}</t>
        </is>
      </c>
      <c r="G142" t="inlineStr">
        <is>
          <t>400 VALIDATION_ERROR: Start price &lt; 0, bid step &lt;= 0, start time in past, or end time not after start time.
401 UNAUTHORIZED: Token is missing, expired, or invalid.
403 SELLER_NOT_ELIGIBLE: Seller is not approved or reputation score is below auction threshold (minimum 50).
409 PRODUCT_ALREADY_IN_AUCTION: Product already has an ongoing or scheduled auction.
409 INVENTORY_UNAVAILABLE: Inventory stock hold failed.
422 PRODUCT_NOT_ELIGIBLE: Product is invalid, inactive, does not belong to seller, or SKU mismatch.
422 INVALID_SCHEDULE: Start time cannot exceed 30 days or duration cannot be under 1 hour.
503 USER_SERVICE_UNAVAILABLE: User service is currently unavailable.</t>
        </is>
      </c>
      <c r="H142" s="225"/>
      <c r="I142" s="226" t="s">
        <v>1196</v>
      </c>
      <c r="J142" s="231" t="s">
        <v>2934</v>
      </c>
      <c r="K142" s="226" t="s">
        <v>824</v>
      </c>
      <c r="L142" s="111"/>
      <c r="M142" s="111"/>
      <c r="N142" s="111"/>
      <c r="O142" s="111"/>
      <c r="P142" s="7"/>
      <c r="Q142" s="7"/>
      <c r="R142" s="7"/>
      <c r="S142" s="7"/>
      <c r="T142" s="7"/>
      <c r="U142" s="7"/>
      <c r="V142" s="7"/>
      <c r="W142" s="7"/>
      <c r="X142" s="7"/>
      <c r="Y142" s="7"/>
      <c r="Z142" s="7"/>
      <c r="AA142" s="7"/>
    </row>
    <row r="143">
      <c r="A143" s="227"/>
      <c r="B143" s="228" t="s">
        <v>590</v>
      </c>
      <c r="C143" s="229" t="s">
        <v>2925</v>
      </c>
      <c r="D143" s="229" t="s">
        <v>2935</v>
      </c>
      <c r="E143" s="229" t="s">
        <v>2936</v>
      </c>
      <c r="F143" t="inlineStr">
        <is>
          <t>200 OK:
{
  "success": true,
  "statusCode": 200,
  "data": {
    "auctionId": "UUID",
    "status": "SCHEDULED",
    "startPriceAmount": "number",
    "bidStepAmount": "number",
    "scheduledStartAt": "datetime",
    "scheduledEndAt": "datetime",
    "updatedAt": "datetime"
  },
  "traceId": "00-4bf92f3577b34da6a3ce929d0e0e4736-00f067aa0ba902b7-01",
  "timestamp": "2026-10-26T00:00:00Z"
}</t>
        </is>
      </c>
      <c r="G143" t="inlineStr">
        <is>
          <t>400 VALIDATION_ERROR: Invalid auctionid, empty payload, or invalid pricing/scheduling values.
401 UNAUTHORIZED: Token is missing, expired, or invalid.
403 FORBIDDEN: You are not the seller of this auction.
404 AUCTION_NOT_FOUND: Auction was not found.
409 AUCTION_NOT_EDITABLE: Auction has already started and cannot be edited.
422 INVALID_SCHEDULE: Start time cannot exceed 30 days or duration cannot be under 1 hour.</t>
        </is>
      </c>
      <c r="H143" s="225"/>
      <c r="I143" s="228" t="s">
        <v>1226</v>
      </c>
      <c r="J143" s="228"/>
      <c r="K143" s="228"/>
      <c r="L143" s="232"/>
      <c r="M143" s="230"/>
      <c r="N143" s="230"/>
      <c r="O143" s="230"/>
      <c r="P143" s="7"/>
      <c r="Q143" s="7"/>
      <c r="R143" s="7"/>
      <c r="S143" s="7"/>
      <c r="T143" s="7"/>
      <c r="U143" s="7"/>
      <c r="V143" s="7"/>
      <c r="W143" s="7"/>
      <c r="X143" s="7"/>
      <c r="Y143" s="7"/>
      <c r="Z143" s="7"/>
      <c r="AA143" s="7"/>
    </row>
    <row r="144">
      <c r="A144" s="145"/>
      <c r="B144" s="226" t="s">
        <v>53</v>
      </c>
      <c r="C144" s="188" t="s">
        <v>2939</v>
      </c>
      <c r="D144" s="188" t="s">
        <v>2940</v>
      </c>
      <c r="E144" s="188" t="s">
        <v>2941</v>
      </c>
      <c r="F144" t="inlineStr">
        <is>
          <t>201 Created:
{
  "success": true,
  "statusCode": 201,
  "data": {
    "auctionId": "UUID",
    "fromStatus": "AuctionStatus",
    "status": "CANCELLED",
    "reason": "string | null",
    "cancelledAt": "datetime"
  },
  "traceId": "00-4bf92f3577b34da6a3ce929d0e0e4736-00f067aa0ba902b7-01",
  "timestamp": "2026-10-26T00:00:00Z"
}</t>
        </is>
      </c>
      <c r="G144" t="inlineStr">
        <is>
          <t>400 VALIDATION_ERROR: Auctionid is not a valid UUID format or cancellation reason is empty.
401 UNAUTHORIZED: Token is missing, expired, or invalid.
403 FORBIDDEN: You are not the seller of this auction.
404 AUCTION_NOT_FOUND: Auction was not found.
409 AUCTION_HAS_BIDS: Auction already has bids, only an administrator can cancel it.
409 CONCURRENT_UPDATE: Auction status was modified concurrently by another operation.
422 INVALID_STATE_TRANSITION: Auction status is invalid for cancellation.</t>
        </is>
      </c>
      <c r="H144" s="225"/>
      <c r="I144" s="226" t="s">
        <v>1252</v>
      </c>
      <c r="J144" s="145"/>
      <c r="K144" s="145"/>
      <c r="L144" s="111"/>
      <c r="M144" s="111"/>
      <c r="N144" s="111"/>
      <c r="O144" s="111"/>
      <c r="P144" s="7"/>
      <c r="Q144" s="7"/>
      <c r="R144" s="7"/>
      <c r="S144" s="7"/>
      <c r="T144" s="7"/>
      <c r="U144" s="7"/>
      <c r="V144" s="7"/>
      <c r="W144" s="7"/>
      <c r="X144" s="7"/>
      <c r="Y144" s="7"/>
      <c r="Z144" s="7"/>
      <c r="AA144" s="7"/>
    </row>
    <row r="145">
      <c r="A145" s="227"/>
      <c r="B145" s="228" t="s">
        <v>53</v>
      </c>
      <c r="C145" s="229" t="s">
        <v>2944</v>
      </c>
      <c r="D145" s="229" t="s">
        <v>2945</v>
      </c>
      <c r="E145" s="229" t="s">
        <v>2946</v>
      </c>
      <c r="F145" t="inlineStr">
        <is>
          <t>201 Created:
{
  "success": true,
  "statusCode": 201,
  "data": {
    "auctionId": "UUID (phiên mới)",
    "recreatedFromAuctionId": "UUID",
    "productId": "UUID",
    "skuId": "UUID",
    "status": "SCHEDULED",
    "startPriceAmount": "number",
    "bidStepAmount": "number",
    "scheduledStartAt": "datetime",
    "scheduledEndAt": "datetime",
    "createdAt": "datetime"
  },
  "traceId": "00-4bf92f3577b34da6a3ce929d0e0e4736-00f067aa0ba902b7-01",
  "timestamp": "2026-10-26T00:00:00Z"
}</t>
        </is>
      </c>
      <c r="G145" t="inlineStr">
        <is>
          <t>400 VALIDATION_ERROR: Invalid auctionid, start price &lt; 0, bid step &lt;= 0, start time in past, or invalid schedule.
401 UNAUTHORIZED: Token is missing, expired, or invalid.
403 FORBIDDEN: Previous auction does not belong to the calling seller.
403 SELLER_NOT_ELIGIBLE: Reputation score is below the auction hosting threshold (minimum 50).
404 AUCTION_NOT_FOUND: Previous auction was not found.
409 PRODUCT_ALREADY_IN_AUCTION: Product already has an ongoing or scheduled auction.
409 INVENTORY_UNAVAILABLE: Inventory stock hold failed.
422 INVALID_RECREATE_SOURCE: Previous auction is not in failed status.
422 PRODUCT_NOT_ELIGIBLE: Product is no longer eligible.
422 INVALID_SCHEDULE: Start time cannot exceed 30 days or duration cannot be under 1 hour.
503 USER_SERVICE_UNAVAILABLE: User service is currently unavailable.</t>
        </is>
      </c>
      <c r="H145" s="225"/>
      <c r="I145" s="228" t="s">
        <v>2949</v>
      </c>
      <c r="J145" s="233" t="s">
        <v>2950</v>
      </c>
      <c r="K145" s="228" t="s">
        <v>2951</v>
      </c>
      <c r="L145" s="230"/>
      <c r="M145" s="230"/>
      <c r="N145" s="230"/>
      <c r="O145" s="230"/>
      <c r="P145" s="7"/>
      <c r="Q145" s="7"/>
      <c r="R145" s="7"/>
      <c r="S145" s="7"/>
      <c r="T145" s="7"/>
      <c r="U145" s="7"/>
      <c r="V145" s="7"/>
      <c r="W145" s="7"/>
      <c r="X145" s="7"/>
      <c r="Y145" s="7"/>
      <c r="Z145" s="7"/>
      <c r="AA145" s="7"/>
    </row>
    <row r="146">
      <c r="A146" s="145"/>
      <c r="B146" s="226" t="s">
        <v>810</v>
      </c>
      <c r="C146" s="188" t="s">
        <v>2952</v>
      </c>
      <c r="D146" s="188" t="s">
        <v>2953</v>
      </c>
      <c r="E146" s="188" t="s">
        <v>2927</v>
      </c>
      <c r="F146" t="inlineStr">
        <is>
          <t>200 OK:
{
  "success": true,
  "statusCode": 200,
  "data": {
    "items": [
      {
        "id": "UUID",
        "fromStatus": "AuctionStatus | null",
        "toStatus": "AuctionStatus",
        "reason": "string | null",
        "changedBy": "UUID | null",
        "changedAt": "datetime"
      }
    ],
    "pagination": {
      "pageIndex": 1,
      "pageSize": 20,
      "totalCount": 100,
      "totalPages": 5,
      "hasPreviousPage": false,
      "hasNextPage": true
    }
  },
  "traceId": "00-4bf92f3577b34da6a3ce929d0e0e4736-00f067aa0ba902b7-01",
  "timestamp": "2026-10-26T00:00:00Z"
}</t>
        </is>
      </c>
      <c r="G146" t="inlineStr">
        <is>
          <t>400 VALIDATION_ERROR: Auctionid is not a valid UUID format or invalid pagination parameters.
401 UNAUTHORIZED: Token is missing, expired, or invalid.
403 FORBIDDEN: Administrator or staff privileges are required.
404 AUCTION_NOT_FOUND: Auction was not found.</t>
        </is>
      </c>
      <c r="H146" s="225"/>
      <c r="I146" s="226" t="s">
        <v>1386</v>
      </c>
      <c r="J146" s="145"/>
      <c r="K146" s="145"/>
      <c r="L146" s="111"/>
      <c r="M146" s="111"/>
      <c r="N146" s="111"/>
      <c r="O146" s="111"/>
      <c r="P146" s="7"/>
      <c r="Q146" s="7"/>
      <c r="R146" s="7"/>
      <c r="S146" s="7"/>
      <c r="T146" s="7"/>
      <c r="U146" s="7"/>
      <c r="V146" s="7"/>
      <c r="W146" s="7"/>
      <c r="X146" s="7"/>
      <c r="Y146" s="7"/>
      <c r="Z146" s="7"/>
      <c r="AA146" s="7"/>
    </row>
    <row r="147">
      <c r="A147" s="227"/>
      <c r="B147" s="228" t="s">
        <v>810</v>
      </c>
      <c r="C147" s="229" t="s">
        <v>2956</v>
      </c>
      <c r="D147" s="229" t="s">
        <v>2957</v>
      </c>
      <c r="E147" s="229" t="s">
        <v>2958</v>
      </c>
      <c r="F147" t="inlineStr">
        <is>
          <t>200 OK:
{
  "success": true,
  "statusCode": 200,
  "data": {
    "items": [
      {
        "auctionId": "UUID",
        "productId": "UUID",
        "skuId": "UUID",
        "productName": "string",
        "primaryImageUrl": "string | null",
        "status": "AuctionStatus",
        "startPriceAmount": "number",
        "currentPriceAmount": "number | null",
        "bidCount": "int",
        "scheduledStartAt": "datetime",
        "scheduledEndAt": "datetime",
        "createdAt": "datetime"
      }
    ],
    "pagination": {
      "pageIndex": 1,
      "pageSize": 20,
      "totalCount": 100,
      "totalPages": 5,
      "hasPreviousPage": false,
      "hasNextPage": true
    }
  },
  "traceId": "00-4bf92f3577b34da6a3ce929d0e0e4736-00f067aa0ba902b7-01",
  "timestamp": "2026-10-26T00:00:00Z"
}</t>
        </is>
      </c>
      <c r="G147" t="inlineStr">
        <is>
          <t>400 VALIDATION_ERROR: Invalid pagination parameters or status is not a valid auctionstatus enum.
401 UNAUTHORIZED: Token is missing, expired, or invalid.
403 FORBIDDEN: Only registered sellers can perform this action.</t>
        </is>
      </c>
      <c r="H147" s="225"/>
      <c r="I147" s="228" t="s">
        <v>1314</v>
      </c>
      <c r="J147" s="228" t="s">
        <v>2961</v>
      </c>
      <c r="K147" s="227"/>
      <c r="L147" s="230"/>
      <c r="M147" s="230"/>
      <c r="N147" s="230"/>
      <c r="O147" s="230"/>
      <c r="P147" s="7"/>
      <c r="Q147" s="7"/>
      <c r="R147" s="7"/>
      <c r="S147" s="7"/>
      <c r="T147" s="7"/>
      <c r="U147" s="7"/>
      <c r="V147" s="7"/>
      <c r="W147" s="7"/>
      <c r="X147" s="7"/>
      <c r="Y147" s="7"/>
      <c r="Z147" s="7"/>
      <c r="AA147" s="7"/>
    </row>
    <row r="148">
      <c r="A148" s="145"/>
      <c r="B148" s="226" t="s">
        <v>53</v>
      </c>
      <c r="C148" s="188" t="s">
        <v>2962</v>
      </c>
      <c r="D148" s="188" t="s">
        <v>2963</v>
      </c>
      <c r="E148" s="188" t="s">
        <v>2964</v>
      </c>
      <c r="F148" t="inlineStr">
        <is>
          <t>201 Created:
{
  "success": true,
  "statusCode": 201,
  "data": {
    "auctionId": "UUID",
    "fromStatus": "AuctionStatus",
    "status": "CANCELLED",
    "reason": "string",
    "cancelledBy": "UUID",
    "cancelledAt": "datetime"
  },
  "traceId": "00-4bf92f3577b34da6a3ce929d0e0e4736-00f067aa0ba902b7-01",
  "timestamp": "2026-10-26T00:00:00Z"
}</t>
        </is>
      </c>
      <c r="G148" t="inlineStr">
        <is>
          <t>400 VALIDATION_ERROR: Auctionid is not a valid UUID format or cancellation reason is empty.
401 UNAUTHORIZED: Token is missing, expired, or invalid.
403 FORBIDDEN: Administrator privileges required, support staff cannot perform this action.
404 AUCTION_NOT_FOUND: Auction was not found.
409 CONCURRENT_UPDATE: Auction status was modified concurrently by another operation.
422 INVALID_STATE_TRANSITION: Auction status is invalid for cancellation (ended auctions cannot be cancelled).</t>
        </is>
      </c>
      <c r="H148" s="225"/>
      <c r="I148" s="226" t="s">
        <v>1341</v>
      </c>
      <c r="J148" s="226" t="s">
        <v>2967</v>
      </c>
      <c r="K148" s="145"/>
      <c r="L148" s="111"/>
      <c r="M148" s="111"/>
      <c r="N148" s="111"/>
      <c r="O148" s="111"/>
      <c r="P148" s="7"/>
      <c r="Q148" s="7"/>
      <c r="R148" s="7"/>
      <c r="S148" s="7"/>
      <c r="T148" s="7"/>
      <c r="U148" s="7"/>
      <c r="V148" s="7"/>
      <c r="W148" s="7"/>
      <c r="X148" s="7"/>
      <c r="Y148" s="7"/>
      <c r="Z148" s="7"/>
      <c r="AA148" s="7"/>
    </row>
    <row r="149">
      <c r="A149" s="227"/>
      <c r="B149" s="228" t="s">
        <v>810</v>
      </c>
      <c r="C149" s="229" t="s">
        <v>2968</v>
      </c>
      <c r="D149" s="229" t="s">
        <v>2969</v>
      </c>
      <c r="E149" s="229" t="s">
        <v>2927</v>
      </c>
      <c r="F149" t="inlineStr">
        <is>
          <t>200 OK:
{
  "success": true,
  "statusCode": 200,
  "data": {
    "auctionId": "UUID",
    "sagaType": "string",
    "currentState": "string",
    "stateData": "object",
    "createdAt": "datetime",
    "updatedAt": "datetime"
  },
  "traceId": "00-4bf92f3577b34da6a3ce929d0e0e4736-00f067aa0ba902b7-01",
  "timestamp": "2026-10-26T00:00:00Z"
}</t>
        </is>
      </c>
      <c r="G149" t="inlineStr">
        <is>
          <t>400 VALIDATION_ERROR: Auctionid is not a valid UUID format.
401 UNAUTHORIZED: Token is missing, expired, or invalid.
403 FORBIDDEN: Administrator or staff privileges are required.
404 AUCTION_NOT_FOUND: Auction was not found or has no winning saga.</t>
        </is>
      </c>
      <c r="H149" s="225"/>
      <c r="I149" s="228" t="s">
        <v>1396</v>
      </c>
      <c r="J149" s="227"/>
      <c r="K149" s="227"/>
      <c r="L149" s="230"/>
      <c r="M149" s="230"/>
      <c r="N149" s="230"/>
      <c r="O149" s="230"/>
      <c r="P149" s="7"/>
      <c r="Q149" s="7"/>
      <c r="R149" s="7"/>
      <c r="S149" s="7"/>
      <c r="T149" s="7"/>
      <c r="U149" s="7"/>
      <c r="V149" s="7"/>
      <c r="W149" s="7"/>
      <c r="X149" s="7"/>
      <c r="Y149" s="7"/>
      <c r="Z149" s="7"/>
      <c r="AA149" s="7"/>
    </row>
    <row r="150">
      <c r="A150" s="145"/>
      <c r="B150" s="226" t="s">
        <v>810</v>
      </c>
      <c r="C150" s="188" t="s">
        <v>2972</v>
      </c>
      <c r="D150" s="188" t="s">
        <v>2973</v>
      </c>
      <c r="E150" s="234"/>
      <c r="F150" t="inlineStr">
        <is>
          <t>200 OK:
{
  "success": true,
  "statusCode": 200,
  "data": {
    "items": [
      {
        "configKey": "string",
        "configValue": "json",
        "description": "string | null",
        "version": "int",
        "updatedBy": "UUID | null",
        "updatedAt": "datetime"
      }
    ],
    "pagination": {
      "pageIndex": 1,
      "pageSize": 20,
      "totalCount": 100,
      "totalPages": 5,
      "hasPreviousPage": false,
      "hasNextPage": true
    }
  },
  "traceId": "00-4bf92f3577b34da6a3ce929d0e0e4736-00f067aa0ba902b7-01",
  "timestamp": "2026-10-26T00:00:00Z"
}</t>
        </is>
      </c>
      <c r="G150" t="inlineStr">
        <is>
          <t>401 UNAUTHORIZED: Token is missing, expired, or invalid.
403 FORBIDDEN: Only administrators can perform this action.</t>
        </is>
      </c>
      <c r="H150" s="225"/>
      <c r="I150" s="226" t="s">
        <v>1361</v>
      </c>
      <c r="J150" s="231" t="s">
        <v>2976</v>
      </c>
      <c r="K150" s="145"/>
      <c r="L150" s="111"/>
      <c r="M150" s="111"/>
      <c r="N150" s="111"/>
      <c r="O150" s="111"/>
      <c r="P150" s="7"/>
      <c r="Q150" s="7"/>
      <c r="R150" s="7"/>
      <c r="S150" s="7"/>
      <c r="T150" s="7"/>
      <c r="U150" s="7"/>
      <c r="V150" s="7"/>
      <c r="W150" s="7"/>
      <c r="X150" s="7"/>
      <c r="Y150" s="7"/>
      <c r="Z150" s="7"/>
      <c r="AA150" s="7"/>
    </row>
    <row r="151">
      <c r="A151" s="227"/>
      <c r="B151" s="228" t="s">
        <v>590</v>
      </c>
      <c r="C151" s="229" t="s">
        <v>2977</v>
      </c>
      <c r="D151" s="229" t="s">
        <v>2978</v>
      </c>
      <c r="E151" s="229" t="s">
        <v>2979</v>
      </c>
      <c r="F151" t="inlineStr">
        <is>
          <t>200 OK:
{
  "success": true,
  "statusCode": 200,
  "data": {
    "configKey": "string",
    "configValue": "json",
    "description": "string | null",
    "version": "int",
    "isActive": "boolean",
    "updatedBy": "UUID | null",
    "createdAt": "datetime",
    "updatedAt": "datetime"
  },
  "traceId": "00-4bf92f3577b34da6a3ce929d0e0e4736-00f067aa0ba902b7-01",
  "timestamp": "2026-10-26T00:00:00Z"
}</t>
        </is>
      </c>
      <c r="G151" t="inlineStr">
        <is>
          <t>400 VALIDATION_ERROR: Configuration value type is invalid or out of allowed bounds for this key.
401 UNAUTHORIZED: Token is missing, expired, or invalid.
403 FORBIDDEN: Only administrators can perform this action.
404 NOT_FOUND: Configuration key was not found.
409 CONFLICT: Update conflict, only one active record is permitted per key.</t>
        </is>
      </c>
      <c r="H151" s="225"/>
      <c r="I151" s="228" t="s">
        <v>1371</v>
      </c>
      <c r="J151" s="227"/>
      <c r="K151" s="227"/>
      <c r="L151" s="230"/>
      <c r="M151" s="230"/>
      <c r="N151" s="230"/>
      <c r="O151" s="230"/>
      <c r="P151" s="7"/>
      <c r="Q151" s="7"/>
      <c r="R151" s="7"/>
      <c r="S151" s="7"/>
      <c r="T151" s="7"/>
      <c r="U151" s="7"/>
      <c r="V151" s="7"/>
      <c r="W151" s="7"/>
      <c r="X151" s="7"/>
      <c r="Y151" s="7"/>
      <c r="Z151" s="7"/>
      <c r="AA151" s="7"/>
    </row>
    <row r="152">
      <c r="A152" s="145"/>
      <c r="B152" s="226" t="s">
        <v>53</v>
      </c>
      <c r="C152" s="188" t="s">
        <v>2982</v>
      </c>
      <c r="D152" s="188" t="s">
        <v>2983</v>
      </c>
      <c r="E152" s="188" t="s">
        <v>2984</v>
      </c>
      <c r="F152" t="inlineStr">
        <is>
          <t>201 Created:
{
  "success": true,
  "statusCode": 201,
  "data": {
    "bidId": "UUID",
    "auctionId": "UUID",
    "bidSeq": "int",
    "amount": "number",
    "placedAt": "datetime",
    "currentPriceAmount": "number",
    "bidCount": "int",
    "scheduledEndAt": "datetime",
    "extensionCount": "int"
  },
  "traceId": "00-4bf92f3577b34da6a3ce929d0e0e4736-00f067aa0ba902b7-01",
  "timestamp": "2026-10-26T00:00:00Z"
}</t>
        </is>
      </c>
      <c r="G152" t="inlineStr">
        <is>
          <t>400 VALIDATION_ERROR: Invalid auctionid, missing Idempotency-Key or If-Match header, or invalid bid amount.
401 UNAUTHORIZED: Token is missing, expired, or invalid.
403 BIDDER_NOT_ELIGIBLE: Reputation score is below bidding threshold (minimum 40) or account is locked.
404 AUCTION_NOT_FOUND: Auction was not found.
409 CONCURRENT_UPDATE: Concurrent update detected (rowversion mismatch or earlier bid).
410 AUCTION_ENDED: Auction has ended or scheduled end time has passed.
422 AUCTION_NOT_RUNNING: Auction is not in running status.
422 BID_TOO_LOW: Bid amount is below the minimum required bid increment.
422 IDEMPOTENCY_KEY_REUSED: Idempotency key reused with different request payload.
503 USER_SERVICE_UNAVAILABLE: User service is currently unavailable.</t>
        </is>
      </c>
      <c r="H152" s="225"/>
      <c r="I152" s="226" t="s">
        <v>1111</v>
      </c>
      <c r="J152" s="231" t="s">
        <v>2987</v>
      </c>
      <c r="K152" s="226" t="s">
        <v>2988</v>
      </c>
      <c r="L152" s="111"/>
      <c r="M152" s="111"/>
      <c r="N152" s="111"/>
      <c r="O152" s="111"/>
      <c r="P152" s="7"/>
      <c r="Q152" s="7"/>
      <c r="R152" s="7"/>
      <c r="S152" s="7"/>
      <c r="T152" s="7"/>
      <c r="U152" s="7"/>
      <c r="V152" s="7"/>
      <c r="W152" s="7"/>
      <c r="X152" s="7"/>
      <c r="Y152" s="7"/>
      <c r="Z152" s="7"/>
      <c r="AA152" s="7"/>
    </row>
    <row r="153">
      <c r="A153" s="227"/>
      <c r="B153" s="228" t="s">
        <v>810</v>
      </c>
      <c r="C153" s="229" t="s">
        <v>2982</v>
      </c>
      <c r="D153" s="229" t="s">
        <v>2989</v>
      </c>
      <c r="E153" s="229" t="s">
        <v>2990</v>
      </c>
      <c r="F153" t="inlineStr">
        <is>
          <t>200 OK:
{
  "success": true,
  "statusCode": 200,
  "data": {
    "items": [
      {
        "bidId": "UUID",
        "sequenceNo": "int",
        "bidderId": "UUID",
        "bidderDisplayName": "string",
        "amount": "number",
        "placedAt": "datetime",
        "isOutbid": "boolean",
        "isWinning": "boolean",
        "isInvalidated": "boolean"
      }
    ],
    "pagination": {
      "pageIndex": 1,
      "pageSize": 20,
      "totalCount": 100,
      "totalPages": 5,
      "hasPreviousPage": false,
      "hasNextPage": true
    }
  },
  "traceId": "00-4bf92f3577b34da6a3ce929d0e0e4736-00f067aa0ba902b7-01",
  "timestamp": "2026-10-26T00:00:00Z"
}</t>
        </is>
      </c>
      <c r="G153" t="inlineStr">
        <is>
          <t>400 VALIDATION_ERROR: Auctionid is not a valid UUID format or invalid pagination parameters.
404 AUCTION_NOT_FOUND: Auction was not found.</t>
        </is>
      </c>
      <c r="H153" s="225"/>
      <c r="I153" s="228" t="s">
        <v>1014</v>
      </c>
      <c r="J153" s="233" t="s">
        <v>2993</v>
      </c>
      <c r="K153" s="227"/>
      <c r="L153" s="230"/>
      <c r="M153" s="230"/>
      <c r="N153" s="230"/>
      <c r="O153" s="230"/>
      <c r="P153" s="7"/>
      <c r="Q153" s="7"/>
      <c r="R153" s="7"/>
      <c r="S153" s="7"/>
      <c r="T153" s="7"/>
      <c r="U153" s="7"/>
      <c r="V153" s="7"/>
      <c r="W153" s="7"/>
      <c r="X153" s="7"/>
      <c r="Y153" s="7"/>
      <c r="Z153" s="7"/>
      <c r="AA153" s="7"/>
    </row>
    <row r="154">
      <c r="A154" s="145"/>
      <c r="B154" s="226" t="s">
        <v>810</v>
      </c>
      <c r="C154" s="188" t="s">
        <v>2994</v>
      </c>
      <c r="D154" s="188" t="s">
        <v>2995</v>
      </c>
      <c r="E154" s="188" t="s">
        <v>2958</v>
      </c>
      <c r="F154" t="inlineStr">
        <is>
          <t>200 OK:
{
  "success": true,
  "statusCode": 200,
  "data": {
    "items": [
      {
        "auctionId": "UUID",
        "productId": "UUID",
        "productName": "string",
        "primaryImageUrl": "string | null",
        "auctionStatus": "AuctionStatus",
        "myHighestBidAmount": "number",
        "currentPriceAmount": "number | null",
        "isLeading": "boolean",
        "endsAt": "datetime",
        "lastBidAt": "datetime"
      }
    ],
    "pagination": {
      "pageIndex": 1,
      "pageSize": 20,
      "totalCount": 100,
      "totalPages": 5,
      "hasPreviousPage": false,
      "hasNextPage": true
    }
  },
  "traceId": "00-4bf92f3577b34da6a3ce929d0e0e4736-00f067aa0ba902b7-01",
  "timestamp": "2026-10-26T00:00:00Z"
}</t>
        </is>
      </c>
      <c r="G154" t="inlineStr">
        <is>
          <t>400 VALIDATION_ERROR: Invalid pagination parameters or status is not a valid auctionstatus enum.
401 UNAUTHORIZED: Token is missing, expired, or invalid.</t>
        </is>
      </c>
      <c r="H154" s="225"/>
      <c r="I154" s="226" t="s">
        <v>1145</v>
      </c>
      <c r="J154" s="226" t="s">
        <v>2961</v>
      </c>
      <c r="K154" s="145"/>
      <c r="L154" s="111"/>
      <c r="M154" s="111"/>
      <c r="N154" s="111"/>
      <c r="O154" s="111"/>
      <c r="P154" s="7"/>
      <c r="Q154" s="7"/>
      <c r="R154" s="7"/>
      <c r="S154" s="7"/>
      <c r="T154" s="7"/>
      <c r="U154" s="7"/>
      <c r="V154" s="7"/>
      <c r="W154" s="7"/>
      <c r="X154" s="7"/>
      <c r="Y154" s="7"/>
      <c r="Z154" s="7"/>
      <c r="AA154" s="7"/>
    </row>
    <row r="155">
      <c r="A155" s="227"/>
      <c r="B155" s="228" t="s">
        <v>810</v>
      </c>
      <c r="C155" s="229" t="s">
        <v>2998</v>
      </c>
      <c r="D155" s="229" t="s">
        <v>2999</v>
      </c>
      <c r="E155" s="229" t="s">
        <v>2927</v>
      </c>
      <c r="F155" t="inlineStr">
        <is>
          <t>200 OK:
{
  "success": true,
  "statusCode": 200,
  "data": {
    "auctionId": "UUID",
    "status": "AuctionStatus",
    "hasWinner": "boolean",
    "winnerId": "UUID | null",
    "winnerDisplayName": "string | null",
    "sellerId": "UUID",
    "winningBidId": "UUID | null",
    "finalPriceAmount": "number | null",
    "determinedAt": "datetime",
    "orderId": "UUID | null",
    "paymentDeadlineAt": "datetime | null",
    "paidAt": "datetime | null"
  },
  "traceId": "00-4bf92f3577b34da6a3ce929d0e0e4736-00f067aa0ba902b7-01",
  "timestamp": "2026-10-26T00:00:00Z"
}</t>
        </is>
      </c>
      <c r="G155" t="inlineStr">
        <is>
          <t>400 VALIDATION_ERROR: Auctionid is not a valid UUID format.
401 UNAUTHORIZED: Token is missing, expired, or invalid.
403 FORBIDDEN: You are not the winner, seller, or administrator of this auction.
404 AUCTION_NOT_FOUND: Auction was not found.</t>
        </is>
      </c>
      <c r="H155" s="225"/>
      <c r="I155" s="228" t="s">
        <v>1168</v>
      </c>
      <c r="J155" s="228"/>
      <c r="K155" s="228"/>
      <c r="L155" s="230"/>
      <c r="M155" s="230"/>
      <c r="N155" s="230"/>
      <c r="O155" s="230"/>
      <c r="P155" s="7"/>
      <c r="Q155" s="7"/>
      <c r="R155" s="7"/>
      <c r="S155" s="7"/>
      <c r="T155" s="7"/>
      <c r="U155" s="7"/>
      <c r="V155" s="7"/>
      <c r="W155" s="7"/>
      <c r="X155" s="7"/>
      <c r="Y155" s="7"/>
      <c r="Z155" s="7"/>
      <c r="AA155" s="7"/>
    </row>
    <row r="156">
      <c r="A156" s="145"/>
      <c r="B156" s="226" t="s">
        <v>3002</v>
      </c>
      <c r="C156" s="188" t="s">
        <v>3003</v>
      </c>
      <c r="D156" s="188" t="s">
        <v>3004</v>
      </c>
      <c r="E156" s="188" t="s">
        <v>3005</v>
      </c>
      <c r="F156" t="inlineStr">
        <is>
          <t>200 OK:
{
  "success": true,
  "statusCode": 200,
  "data": {
    "auctionId": "UUID",
    "status": "",
    "paymentDeadlineAt": "datetime | null",
    "isWithinDeadline": "boolean"
  },
  "traceId": "00-4bf92f3577b34da6a3ce929d0e0e4736-00f067aa0ba902b7-01",
  "timestamp": "2026-10-26T00:00:00Z"
}</t>
        </is>
      </c>
      <c r="G156" t="inlineStr">
        <is>
          <t/>
        </is>
      </c>
      <c r="H156" s="148"/>
      <c r="I156" s="226" t="s">
        <v>1403</v>
      </c>
      <c r="J156" s="111"/>
      <c r="K156" s="111"/>
      <c r="L156" s="111"/>
      <c r="M156" s="111"/>
      <c r="N156" s="111"/>
      <c r="O156" s="111"/>
      <c r="P156" s="7"/>
      <c r="Q156" s="7"/>
      <c r="R156" s="7"/>
      <c r="S156" s="7"/>
      <c r="T156" s="7"/>
      <c r="U156" s="7"/>
      <c r="V156" s="7"/>
      <c r="W156" s="7"/>
      <c r="X156" s="7"/>
      <c r="Y156" s="7"/>
      <c r="Z156" s="7"/>
      <c r="AA156" s="7"/>
    </row>
    <row r="157">
      <c r="A157" s="227"/>
      <c r="B157" s="228" t="s">
        <v>810</v>
      </c>
      <c r="C157" s="229" t="s">
        <v>3008</v>
      </c>
      <c r="D157" s="229" t="s">
        <v>3009</v>
      </c>
      <c r="E157" s="229" t="s">
        <v>3010</v>
      </c>
      <c r="F157" t="inlineStr">
        <is>
          <t>200 OK:
{
  "success": true,
  "statusCode": 200,
  "data": {
    "productId": "UUID",
    "auctionId": "UUID | null",
    "status": "",
    "isOpen": "boolean",
    "isSold": "boolean"
  },
  "traceId": "00-4bf92f3577b34da6a3ce929d0e0e4736-00f067aa0ba902b7-01",
  "timestamp": "2026-10-26T00:00:00Z"
}</t>
        </is>
      </c>
      <c r="G157" t="inlineStr">
        <is>
          <t>400 VALIDATION_ERROR: Productid is not a valid UUID format.
403 FORBIDDEN: Only internal catalog service can call this endpoint.</t>
        </is>
      </c>
      <c r="H157" s="225"/>
      <c r="I157" s="228" t="s">
        <v>1592</v>
      </c>
      <c r="J157" s="230"/>
      <c r="K157" s="230"/>
      <c r="L157" s="230"/>
      <c r="M157" s="230"/>
      <c r="N157" s="230"/>
      <c r="O157" s="230"/>
      <c r="P157" s="7"/>
      <c r="Q157" s="7"/>
      <c r="R157" s="7"/>
      <c r="S157" s="7"/>
      <c r="T157" s="7"/>
      <c r="U157" s="7"/>
      <c r="V157" s="7"/>
      <c r="W157" s="7"/>
      <c r="X157" s="7"/>
      <c r="Y157" s="7"/>
      <c r="Z157" s="7"/>
      <c r="AA157" s="7"/>
    </row>
    <row r="158">
      <c r="A158" s="145"/>
      <c r="B158" s="226" t="s">
        <v>810</v>
      </c>
      <c r="C158" s="188" t="s">
        <v>3013</v>
      </c>
      <c r="D158" s="188" t="s">
        <v>3014</v>
      </c>
      <c r="E158" s="188" t="s">
        <v>3005</v>
      </c>
      <c r="F158" t="inlineStr">
        <is>
          <t>200 OK:
{
  "success": true,
  "statusCode": 200,
  "data": {
    "auctionId": "UUID",
    "productId": "UUID",
    "sellerId": "UUID",
    "status": "AuctionStatus",
    "startingPriceAmount": "number",
    "bidStepAmount": "number",
    "currentPriceAmount": "number | null",
    "currentLeadingBidderId": "UUID | null",
    "currentLeadingBidderMasked": "string | null",
    "bidCount": "int",
    "startsAt": "datetime",
    "endsAt": "datetime",
    "extensionCount": "int"
  },
  "traceId": "00-4bf92f3577b34da6a3ce929d0e0e4736-00f067aa0ba902b7-01",
  "timestamp": "2026-10-26T00:00:00Z"
}</t>
        </is>
      </c>
      <c r="G158" t="inlineStr">
        <is>
          <t>400 VALIDATION_ERROR: Auctionid is not a valid UUID format.
403 FORBIDDEN: Only internal catalog service can call this endpoint.
404 AUCTION_NOT_FOUND: Auction was not found.</t>
        </is>
      </c>
      <c r="H158" s="225"/>
      <c r="I158" s="226" t="s">
        <v>1616</v>
      </c>
      <c r="J158" s="111"/>
      <c r="K158" s="111"/>
      <c r="L158" s="111"/>
      <c r="M158" s="111"/>
      <c r="N158" s="111"/>
      <c r="O158" s="111"/>
      <c r="P158" s="7"/>
      <c r="Q158" s="7"/>
      <c r="R158" s="7"/>
      <c r="S158" s="7"/>
      <c r="T158" s="7"/>
      <c r="U158" s="7"/>
      <c r="V158" s="7"/>
      <c r="W158" s="7"/>
      <c r="X158" s="7"/>
      <c r="Y158" s="7"/>
      <c r="Z158" s="7"/>
      <c r="AA158" s="7"/>
    </row>
    <row r="159">
      <c r="A159" s="227"/>
      <c r="B159" s="227"/>
      <c r="C159" s="235"/>
      <c r="D159" s="235"/>
      <c r="E159" s="235"/>
      <c r="F159" s="235"/>
      <c r="G159" s="235"/>
      <c r="H159" s="148"/>
      <c r="I159" s="230"/>
      <c r="J159" s="230"/>
      <c r="K159" s="230"/>
      <c r="L159" s="230"/>
      <c r="M159" s="230"/>
      <c r="N159" s="230"/>
      <c r="O159" s="230"/>
      <c r="P159" s="7"/>
      <c r="Q159" s="7"/>
      <c r="R159" s="7"/>
      <c r="S159" s="7"/>
      <c r="T159" s="7"/>
      <c r="U159" s="7"/>
      <c r="V159" s="7"/>
      <c r="W159" s="7"/>
      <c r="X159" s="7"/>
      <c r="Y159" s="7"/>
      <c r="Z159" s="7"/>
      <c r="AA159" s="7"/>
    </row>
    <row r="160">
      <c r="A160" s="145"/>
      <c r="B160" s="145"/>
      <c r="C160" s="147"/>
      <c r="D160" s="147"/>
      <c r="E160" s="147"/>
      <c r="F160" s="147"/>
      <c r="G160" s="147"/>
      <c r="H160" s="148"/>
      <c r="I160" s="111"/>
      <c r="J160" s="111"/>
      <c r="K160" s="111"/>
      <c r="L160" s="111"/>
      <c r="M160" s="111"/>
      <c r="N160" s="111"/>
      <c r="O160" s="111"/>
      <c r="P160" s="7"/>
      <c r="Q160" s="7"/>
      <c r="R160" s="7"/>
      <c r="S160" s="7"/>
      <c r="T160" s="7"/>
      <c r="U160" s="7"/>
      <c r="V160" s="7"/>
      <c r="W160" s="7"/>
      <c r="X160" s="7"/>
      <c r="Y160" s="7"/>
      <c r="Z160" s="7"/>
      <c r="AA160" s="7"/>
    </row>
    <row r="161">
      <c r="A161" s="227"/>
      <c r="B161" s="227"/>
      <c r="C161" s="235"/>
      <c r="D161" s="235"/>
      <c r="E161" s="235"/>
      <c r="F161" s="235"/>
      <c r="G161" s="235"/>
      <c r="H161" s="148"/>
      <c r="I161" s="230"/>
      <c r="J161" s="230"/>
      <c r="K161" s="230"/>
      <c r="L161" s="230"/>
      <c r="M161" s="230"/>
      <c r="N161" s="230"/>
      <c r="O161" s="230"/>
      <c r="P161" s="7"/>
      <c r="Q161" s="7"/>
      <c r="R161" s="7"/>
      <c r="S161" s="7"/>
      <c r="T161" s="7"/>
      <c r="U161" s="7"/>
      <c r="V161" s="7"/>
      <c r="W161" s="7"/>
      <c r="X161" s="7"/>
      <c r="Y161" s="7"/>
      <c r="Z161" s="7"/>
      <c r="AA161" s="7"/>
    </row>
    <row r="162">
      <c r="A162" s="145"/>
      <c r="B162" s="145"/>
      <c r="C162" s="147"/>
      <c r="D162" s="147"/>
      <c r="E162" s="147"/>
      <c r="F162" s="147"/>
      <c r="G162" s="147"/>
      <c r="H162" s="148"/>
      <c r="I162" s="111"/>
      <c r="J162" s="111"/>
      <c r="K162" s="111"/>
      <c r="L162" s="111"/>
      <c r="M162" s="111"/>
      <c r="N162" s="111"/>
      <c r="O162" s="111"/>
      <c r="P162" s="7"/>
      <c r="Q162" s="7"/>
      <c r="R162" s="7"/>
      <c r="S162" s="7"/>
      <c r="T162" s="7"/>
      <c r="U162" s="7"/>
      <c r="V162" s="7"/>
      <c r="W162" s="7"/>
      <c r="X162" s="7"/>
      <c r="Y162" s="7"/>
      <c r="Z162" s="7"/>
      <c r="AA162" s="7"/>
    </row>
    <row r="163">
      <c r="A163" s="227"/>
      <c r="B163" s="227"/>
      <c r="C163" s="235"/>
      <c r="D163" s="235"/>
      <c r="E163" s="235"/>
      <c r="F163" s="235"/>
      <c r="G163" s="235"/>
      <c r="H163" s="148"/>
      <c r="I163" s="230"/>
      <c r="J163" s="230"/>
      <c r="K163" s="230"/>
      <c r="L163" s="230"/>
      <c r="M163" s="230"/>
      <c r="N163" s="230"/>
      <c r="O163" s="230"/>
      <c r="P163" s="7"/>
      <c r="Q163" s="7"/>
      <c r="R163" s="7"/>
      <c r="S163" s="7"/>
      <c r="T163" s="7"/>
      <c r="U163" s="7"/>
      <c r="V163" s="7"/>
      <c r="W163" s="7"/>
      <c r="X163" s="7"/>
      <c r="Y163" s="7"/>
      <c r="Z163" s="7"/>
      <c r="AA163" s="7"/>
    </row>
    <row r="164">
      <c r="A164" s="145"/>
      <c r="B164" s="145"/>
      <c r="C164" s="147"/>
      <c r="D164" s="147"/>
      <c r="E164" s="147"/>
      <c r="F164" s="147"/>
      <c r="G164" s="147"/>
      <c r="H164" s="148"/>
      <c r="I164" s="111"/>
      <c r="J164" s="111"/>
      <c r="K164" s="111"/>
      <c r="L164" s="111"/>
      <c r="M164" s="111"/>
      <c r="N164" s="111"/>
      <c r="O164" s="111"/>
      <c r="P164" s="7"/>
      <c r="Q164" s="7"/>
      <c r="R164" s="7"/>
      <c r="S164" s="7"/>
      <c r="T164" s="7"/>
      <c r="U164" s="7"/>
      <c r="V164" s="7"/>
      <c r="W164" s="7"/>
      <c r="X164" s="7"/>
      <c r="Y164" s="7"/>
      <c r="Z164" s="7"/>
      <c r="AA164" s="7"/>
    </row>
    <row r="165">
      <c r="A165" s="227"/>
      <c r="B165" s="227"/>
      <c r="C165" s="235"/>
      <c r="D165" s="235"/>
      <c r="E165" s="235"/>
      <c r="F165" s="235"/>
      <c r="G165" s="235"/>
      <c r="H165" s="148"/>
      <c r="I165" s="230"/>
      <c r="J165" s="230"/>
      <c r="K165" s="230"/>
      <c r="L165" s="230"/>
      <c r="M165" s="230"/>
      <c r="N165" s="230"/>
      <c r="O165" s="230"/>
      <c r="P165" s="7"/>
      <c r="Q165" s="7"/>
      <c r="R165" s="7"/>
      <c r="S165" s="7"/>
      <c r="T165" s="7"/>
      <c r="U165" s="7"/>
      <c r="V165" s="7"/>
      <c r="W165" s="7"/>
      <c r="X165" s="7"/>
      <c r="Y165" s="7"/>
      <c r="Z165" s="7"/>
      <c r="AA165" s="7"/>
    </row>
    <row r="166">
      <c r="A166" s="145"/>
      <c r="B166" s="145"/>
      <c r="C166" s="147"/>
      <c r="D166" s="147"/>
      <c r="E166" s="147"/>
      <c r="F166" s="147"/>
      <c r="G166" s="147"/>
      <c r="H166" s="148"/>
      <c r="I166" s="111"/>
      <c r="J166" s="111"/>
      <c r="K166" s="111"/>
      <c r="L166" s="111"/>
      <c r="M166" s="111"/>
      <c r="N166" s="111"/>
      <c r="O166" s="111"/>
      <c r="P166" s="7"/>
      <c r="Q166" s="7"/>
      <c r="R166" s="7"/>
      <c r="S166" s="7"/>
      <c r="T166" s="7"/>
      <c r="U166" s="7"/>
      <c r="V166" s="7"/>
      <c r="W166" s="7"/>
      <c r="X166" s="7"/>
      <c r="Y166" s="7"/>
      <c r="Z166" s="7"/>
      <c r="AA166" s="7"/>
    </row>
    <row r="167">
      <c r="A167" s="227"/>
      <c r="B167" s="227"/>
      <c r="C167" s="235"/>
      <c r="D167" s="235"/>
      <c r="E167" s="235"/>
      <c r="F167" s="235"/>
      <c r="G167" s="235"/>
      <c r="H167" s="148"/>
      <c r="I167" s="230"/>
      <c r="J167" s="230"/>
      <c r="K167" s="230"/>
      <c r="L167" s="230"/>
      <c r="M167" s="230"/>
      <c r="N167" s="230"/>
      <c r="O167" s="230"/>
      <c r="P167" s="7"/>
      <c r="Q167" s="7"/>
      <c r="R167" s="7"/>
      <c r="S167" s="7"/>
      <c r="T167" s="7"/>
      <c r="U167" s="7"/>
      <c r="V167" s="7"/>
      <c r="W167" s="7"/>
      <c r="X167" s="7"/>
      <c r="Y167" s="7"/>
      <c r="Z167" s="7"/>
      <c r="AA167" s="7"/>
    </row>
    <row r="168">
      <c r="A168" s="145"/>
      <c r="B168" s="145"/>
      <c r="C168" s="147"/>
      <c r="D168" s="147"/>
      <c r="E168" s="147"/>
      <c r="F168" s="147"/>
      <c r="G168" s="147"/>
      <c r="H168" s="148"/>
      <c r="I168" s="111"/>
      <c r="J168" s="111"/>
      <c r="K168" s="111"/>
      <c r="L168" s="111"/>
      <c r="M168" s="111"/>
      <c r="N168" s="111"/>
      <c r="O168" s="111"/>
      <c r="P168" s="7"/>
      <c r="Q168" s="7"/>
      <c r="R168" s="7"/>
      <c r="S168" s="7"/>
      <c r="T168" s="7"/>
      <c r="U168" s="7"/>
      <c r="V168" s="7"/>
      <c r="W168" s="7"/>
      <c r="X168" s="7"/>
      <c r="Y168" s="7"/>
      <c r="Z168" s="7"/>
      <c r="AA168" s="7"/>
    </row>
    <row r="169">
      <c r="A169" s="227"/>
      <c r="B169" s="227"/>
      <c r="C169" s="235"/>
      <c r="D169" s="235"/>
      <c r="E169" s="235"/>
      <c r="F169" s="235"/>
      <c r="G169" s="235"/>
      <c r="H169" s="148"/>
      <c r="I169" s="230"/>
      <c r="J169" s="230"/>
      <c r="K169" s="230"/>
      <c r="L169" s="230"/>
      <c r="M169" s="230"/>
      <c r="N169" s="230"/>
      <c r="O169" s="230"/>
      <c r="P169" s="7"/>
      <c r="Q169" s="7"/>
      <c r="R169" s="7"/>
      <c r="S169" s="7"/>
      <c r="T169" s="7"/>
      <c r="U169" s="7"/>
      <c r="V169" s="7"/>
      <c r="W169" s="7"/>
      <c r="X169" s="7"/>
      <c r="Y169" s="7"/>
      <c r="Z169" s="7"/>
      <c r="AA169" s="7"/>
    </row>
    <row r="170">
      <c r="A170" s="145"/>
      <c r="B170" s="145"/>
      <c r="C170" s="147"/>
      <c r="D170" s="147"/>
      <c r="E170" s="147"/>
      <c r="F170" s="147"/>
      <c r="G170" s="147"/>
      <c r="H170" s="148"/>
      <c r="I170" s="111"/>
      <c r="J170" s="111"/>
      <c r="K170" s="111"/>
      <c r="L170" s="111"/>
      <c r="M170" s="111"/>
      <c r="N170" s="111"/>
      <c r="O170" s="111"/>
      <c r="P170" s="7"/>
      <c r="Q170" s="7"/>
      <c r="R170" s="7"/>
      <c r="S170" s="7"/>
      <c r="T170" s="7"/>
      <c r="U170" s="7"/>
      <c r="V170" s="7"/>
      <c r="W170" s="7"/>
      <c r="X170" s="7"/>
      <c r="Y170" s="7"/>
      <c r="Z170" s="7"/>
      <c r="AA170" s="7"/>
    </row>
    <row r="171">
      <c r="A171" s="227"/>
      <c r="B171" s="227"/>
      <c r="C171" s="235"/>
      <c r="D171" s="235"/>
      <c r="E171" s="235"/>
      <c r="F171" s="235"/>
      <c r="G171" s="235"/>
      <c r="H171" s="148"/>
      <c r="I171" s="230"/>
      <c r="J171" s="230"/>
      <c r="K171" s="230"/>
      <c r="L171" s="230"/>
      <c r="M171" s="230"/>
      <c r="N171" s="230"/>
      <c r="O171" s="230"/>
      <c r="P171" s="7"/>
      <c r="Q171" s="7"/>
      <c r="R171" s="7"/>
      <c r="S171" s="7"/>
      <c r="T171" s="7"/>
      <c r="U171" s="7"/>
      <c r="V171" s="7"/>
      <c r="W171" s="7"/>
      <c r="X171" s="7"/>
      <c r="Y171" s="7"/>
      <c r="Z171" s="7"/>
      <c r="AA171" s="7"/>
    </row>
    <row r="172">
      <c r="A172" s="145"/>
      <c r="B172" s="145"/>
      <c r="C172" s="147"/>
      <c r="D172" s="147"/>
      <c r="E172" s="147"/>
      <c r="F172" s="147"/>
      <c r="G172" s="147"/>
      <c r="H172" s="148"/>
      <c r="I172" s="111"/>
      <c r="J172" s="111"/>
      <c r="K172" s="111"/>
      <c r="L172" s="111"/>
      <c r="M172" s="111"/>
      <c r="N172" s="111"/>
      <c r="O172" s="111"/>
      <c r="P172" s="7"/>
      <c r="Q172" s="7"/>
      <c r="R172" s="7"/>
      <c r="S172" s="7"/>
      <c r="T172" s="7"/>
      <c r="U172" s="7"/>
      <c r="V172" s="7"/>
      <c r="W172" s="7"/>
      <c r="X172" s="7"/>
      <c r="Y172" s="7"/>
      <c r="Z172" s="7"/>
      <c r="AA172" s="7"/>
    </row>
    <row r="173">
      <c r="A173" s="227"/>
      <c r="B173" s="227"/>
      <c r="C173" s="235"/>
      <c r="D173" s="235"/>
      <c r="E173" s="235"/>
      <c r="F173" s="235"/>
      <c r="G173" s="235"/>
      <c r="H173" s="148"/>
      <c r="I173" s="230"/>
      <c r="J173" s="230"/>
      <c r="K173" s="230"/>
      <c r="L173" s="230"/>
      <c r="M173" s="230"/>
      <c r="N173" s="230"/>
      <c r="O173" s="230"/>
      <c r="P173" s="7"/>
      <c r="Q173" s="7"/>
      <c r="R173" s="7"/>
      <c r="S173" s="7"/>
      <c r="T173" s="7"/>
      <c r="U173" s="7"/>
      <c r="V173" s="7"/>
      <c r="W173" s="7"/>
      <c r="X173" s="7"/>
      <c r="Y173" s="7"/>
      <c r="Z173" s="7"/>
      <c r="AA173" s="7"/>
    </row>
    <row r="174">
      <c r="A174" s="145"/>
      <c r="B174" s="145"/>
      <c r="C174" s="147"/>
      <c r="D174" s="147"/>
      <c r="E174" s="147"/>
      <c r="F174" s="147"/>
      <c r="G174" s="147"/>
      <c r="H174" s="148"/>
      <c r="I174" s="111"/>
      <c r="J174" s="111"/>
      <c r="K174" s="111"/>
      <c r="L174" s="111"/>
      <c r="M174" s="111"/>
      <c r="N174" s="111"/>
      <c r="O174" s="111"/>
      <c r="P174" s="7"/>
      <c r="Q174" s="7"/>
      <c r="R174" s="7"/>
      <c r="S174" s="7"/>
      <c r="T174" s="7"/>
      <c r="U174" s="7"/>
      <c r="V174" s="7"/>
      <c r="W174" s="7"/>
      <c r="X174" s="7"/>
      <c r="Y174" s="7"/>
      <c r="Z174" s="7"/>
      <c r="AA174" s="7"/>
    </row>
    <row r="175">
      <c r="A175" s="227"/>
      <c r="B175" s="227"/>
      <c r="C175" s="235"/>
      <c r="D175" s="235"/>
      <c r="E175" s="235"/>
      <c r="F175" s="235"/>
      <c r="G175" s="235"/>
      <c r="H175" s="148"/>
      <c r="I175" s="230"/>
      <c r="J175" s="230"/>
      <c r="K175" s="230"/>
      <c r="L175" s="230"/>
      <c r="M175" s="230"/>
      <c r="N175" s="230"/>
      <c r="O175" s="230"/>
      <c r="P175" s="7"/>
      <c r="Q175" s="7"/>
      <c r="R175" s="7"/>
      <c r="S175" s="7"/>
      <c r="T175" s="7"/>
      <c r="U175" s="7"/>
      <c r="V175" s="7"/>
      <c r="W175" s="7"/>
      <c r="X175" s="7"/>
      <c r="Y175" s="7"/>
      <c r="Z175" s="7"/>
      <c r="AA175" s="7"/>
    </row>
    <row r="176">
      <c r="A176" s="145"/>
      <c r="B176" s="145"/>
      <c r="C176" s="147"/>
      <c r="D176" s="147"/>
      <c r="E176" s="147"/>
      <c r="F176" s="147"/>
      <c r="G176" s="147"/>
      <c r="H176" s="148"/>
      <c r="I176" s="111"/>
      <c r="J176" s="111"/>
      <c r="K176" s="111"/>
      <c r="L176" s="111"/>
      <c r="M176" s="111"/>
      <c r="N176" s="111"/>
      <c r="O176" s="111"/>
      <c r="P176" s="7"/>
      <c r="Q176" s="7"/>
      <c r="R176" s="7"/>
      <c r="S176" s="7"/>
      <c r="T176" s="7"/>
      <c r="U176" s="7"/>
      <c r="V176" s="7"/>
      <c r="W176" s="7"/>
      <c r="X176" s="7"/>
      <c r="Y176" s="7"/>
      <c r="Z176" s="7"/>
      <c r="AA176" s="7"/>
    </row>
    <row r="177">
      <c r="A177" s="227"/>
      <c r="B177" s="227"/>
      <c r="C177" s="235"/>
      <c r="D177" s="235"/>
      <c r="E177" s="235"/>
      <c r="F177" s="235"/>
      <c r="G177" s="235"/>
      <c r="H177" s="148"/>
      <c r="I177" s="230"/>
      <c r="J177" s="230"/>
      <c r="K177" s="230"/>
      <c r="L177" s="230"/>
      <c r="M177" s="230"/>
      <c r="N177" s="230"/>
      <c r="O177" s="230"/>
      <c r="P177" s="7"/>
      <c r="Q177" s="7"/>
      <c r="R177" s="7"/>
      <c r="S177" s="7"/>
      <c r="T177" s="7"/>
      <c r="U177" s="7"/>
      <c r="V177" s="7"/>
      <c r="W177" s="7"/>
      <c r="X177" s="7"/>
      <c r="Y177" s="7"/>
      <c r="Z177" s="7"/>
      <c r="AA177" s="7"/>
    </row>
    <row r="178">
      <c r="A178" s="145"/>
      <c r="B178" s="145"/>
      <c r="C178" s="147"/>
      <c r="D178" s="147"/>
      <c r="E178" s="147"/>
      <c r="F178" s="147"/>
      <c r="G178" s="147"/>
      <c r="H178" s="148"/>
      <c r="I178" s="111"/>
      <c r="J178" s="111"/>
      <c r="K178" s="111"/>
      <c r="L178" s="111"/>
      <c r="M178" s="111"/>
      <c r="N178" s="111"/>
      <c r="O178" s="111"/>
      <c r="P178" s="7"/>
      <c r="Q178" s="7"/>
      <c r="R178" s="7"/>
      <c r="S178" s="7"/>
      <c r="T178" s="7"/>
      <c r="U178" s="7"/>
      <c r="V178" s="7"/>
      <c r="W178" s="7"/>
      <c r="X178" s="7"/>
      <c r="Y178" s="7"/>
      <c r="Z178" s="7"/>
      <c r="AA178" s="7"/>
    </row>
    <row r="179">
      <c r="A179" s="227"/>
      <c r="B179" s="227"/>
      <c r="C179" s="235"/>
      <c r="D179" s="235"/>
      <c r="E179" s="235"/>
      <c r="F179" s="235"/>
      <c r="G179" s="235"/>
      <c r="H179" s="148"/>
      <c r="I179" s="230"/>
      <c r="J179" s="230"/>
      <c r="K179" s="230"/>
      <c r="L179" s="230"/>
      <c r="M179" s="230"/>
      <c r="N179" s="230"/>
      <c r="O179" s="230"/>
      <c r="P179" s="7"/>
      <c r="Q179" s="7"/>
      <c r="R179" s="7"/>
      <c r="S179" s="7"/>
      <c r="T179" s="7"/>
      <c r="U179" s="7"/>
      <c r="V179" s="7"/>
      <c r="W179" s="7"/>
      <c r="X179" s="7"/>
      <c r="Y179" s="7"/>
      <c r="Z179" s="7"/>
      <c r="AA179" s="7"/>
    </row>
    <row r="180">
      <c r="A180" s="145"/>
      <c r="B180" s="145"/>
      <c r="C180" s="147"/>
      <c r="D180" s="147"/>
      <c r="E180" s="147"/>
      <c r="F180" s="147"/>
      <c r="G180" s="147"/>
      <c r="H180" s="148"/>
      <c r="I180" s="111"/>
      <c r="J180" s="111"/>
      <c r="K180" s="111"/>
      <c r="L180" s="111"/>
      <c r="M180" s="111"/>
      <c r="N180" s="111"/>
      <c r="O180" s="111"/>
      <c r="P180" s="7"/>
      <c r="Q180" s="7"/>
      <c r="R180" s="7"/>
      <c r="S180" s="7"/>
      <c r="T180" s="7"/>
      <c r="U180" s="7"/>
      <c r="V180" s="7"/>
      <c r="W180" s="7"/>
      <c r="X180" s="7"/>
      <c r="Y180" s="7"/>
      <c r="Z180" s="7"/>
      <c r="AA180" s="7"/>
    </row>
    <row r="181">
      <c r="A181" s="227"/>
      <c r="B181" s="227"/>
      <c r="C181" s="235"/>
      <c r="D181" s="235"/>
      <c r="E181" s="235"/>
      <c r="F181" s="235"/>
      <c r="G181" s="235"/>
      <c r="H181" s="148"/>
      <c r="I181" s="230"/>
      <c r="J181" s="230"/>
      <c r="K181" s="230"/>
      <c r="L181" s="230"/>
      <c r="M181" s="230"/>
      <c r="N181" s="230"/>
      <c r="O181" s="230"/>
      <c r="P181" s="7"/>
      <c r="Q181" s="7"/>
      <c r="R181" s="7"/>
      <c r="S181" s="7"/>
      <c r="T181" s="7"/>
      <c r="U181" s="7"/>
      <c r="V181" s="7"/>
      <c r="W181" s="7"/>
      <c r="X181" s="7"/>
      <c r="Y181" s="7"/>
      <c r="Z181" s="7"/>
      <c r="AA181" s="7"/>
    </row>
    <row r="182">
      <c r="A182" s="145"/>
      <c r="B182" s="145"/>
      <c r="C182" s="147"/>
      <c r="D182" s="147"/>
      <c r="E182" s="147"/>
      <c r="F182" s="147"/>
      <c r="G182" s="147"/>
      <c r="H182" s="148"/>
      <c r="I182" s="111"/>
      <c r="J182" s="111"/>
      <c r="K182" s="111"/>
      <c r="L182" s="111"/>
      <c r="M182" s="111"/>
      <c r="N182" s="111"/>
      <c r="O182" s="111"/>
      <c r="P182" s="7"/>
      <c r="Q182" s="7"/>
      <c r="R182" s="7"/>
      <c r="S182" s="7"/>
      <c r="T182" s="7"/>
      <c r="U182" s="7"/>
      <c r="V182" s="7"/>
      <c r="W182" s="7"/>
      <c r="X182" s="7"/>
      <c r="Y182" s="7"/>
      <c r="Z182" s="7"/>
      <c r="AA182" s="7"/>
    </row>
    <row r="183">
      <c r="A183" s="227"/>
      <c r="B183" s="227"/>
      <c r="C183" s="235"/>
      <c r="D183" s="235"/>
      <c r="E183" s="235"/>
      <c r="F183" s="235"/>
      <c r="G183" s="235"/>
      <c r="H183" s="148"/>
      <c r="I183" s="230"/>
      <c r="J183" s="230"/>
      <c r="K183" s="230"/>
      <c r="L183" s="230"/>
      <c r="M183" s="230"/>
      <c r="N183" s="230"/>
      <c r="O183" s="230"/>
      <c r="P183" s="7"/>
      <c r="Q183" s="7"/>
      <c r="R183" s="7"/>
      <c r="S183" s="7"/>
      <c r="T183" s="7"/>
      <c r="U183" s="7"/>
      <c r="V183" s="7"/>
      <c r="W183" s="7"/>
      <c r="X183" s="7"/>
      <c r="Y183" s="7"/>
      <c r="Z183" s="7"/>
      <c r="AA183" s="7"/>
    </row>
    <row r="184">
      <c r="A184" s="145"/>
      <c r="B184" s="145"/>
      <c r="C184" s="147"/>
      <c r="D184" s="147"/>
      <c r="E184" s="147"/>
      <c r="F184" s="147"/>
      <c r="G184" s="147"/>
      <c r="H184" s="148"/>
      <c r="I184" s="111"/>
      <c r="J184" s="111"/>
      <c r="K184" s="111"/>
      <c r="L184" s="111"/>
      <c r="M184" s="111"/>
      <c r="N184" s="111"/>
      <c r="O184" s="111"/>
      <c r="P184" s="7"/>
      <c r="Q184" s="7"/>
      <c r="R184" s="7"/>
      <c r="S184" s="7"/>
      <c r="T184" s="7"/>
      <c r="U184" s="7"/>
      <c r="V184" s="7"/>
      <c r="W184" s="7"/>
      <c r="X184" s="7"/>
      <c r="Y184" s="7"/>
      <c r="Z184" s="7"/>
      <c r="AA184" s="7"/>
    </row>
    <row r="185">
      <c r="A185" s="236" t="s">
        <v>3017</v>
      </c>
      <c r="P185" s="237"/>
      <c r="Q185" s="237"/>
      <c r="R185" s="237"/>
      <c r="S185" s="237"/>
      <c r="T185" s="237"/>
      <c r="U185" s="237"/>
      <c r="V185" s="237"/>
      <c r="W185" s="237"/>
      <c r="X185" s="237"/>
      <c r="Y185" s="237"/>
      <c r="Z185" s="237"/>
      <c r="AA185" s="237"/>
    </row>
    <row r="186">
      <c r="A186" s="152" t="s">
        <v>0</v>
      </c>
      <c r="B186" s="153" t="s">
        <v>19</v>
      </c>
      <c r="C186" s="154" t="s">
        <v>20</v>
      </c>
      <c r="D186" s="154" t="s">
        <v>4</v>
      </c>
      <c r="E186" s="154" t="s">
        <v>6</v>
      </c>
      <c r="F186" t="inlineStr">
        <is>
          <t>Response</t>
        </is>
      </c>
      <c r="G186" t="inlineStr">
        <is>
          <t>Error.</t>
        </is>
      </c>
      <c r="H186" s="118" t="s">
        <v>25</v>
      </c>
      <c r="I186" s="156">
        <v>1.0</v>
      </c>
      <c r="J186" s="156">
        <v>2.0</v>
      </c>
      <c r="K186" s="156">
        <v>3.0</v>
      </c>
      <c r="L186" s="156">
        <v>4.0</v>
      </c>
      <c r="M186" s="156">
        <v>5.0</v>
      </c>
      <c r="N186" s="156">
        <v>6.0</v>
      </c>
      <c r="O186" s="156">
        <v>7.0</v>
      </c>
      <c r="P186" s="7"/>
      <c r="Q186" s="7"/>
      <c r="R186" s="7"/>
      <c r="S186" s="7"/>
      <c r="T186" s="7"/>
      <c r="U186" s="7"/>
      <c r="V186" s="7"/>
      <c r="W186" s="7"/>
      <c r="X186" s="7"/>
      <c r="Y186" s="7"/>
      <c r="Z186" s="7"/>
      <c r="AA186" s="7"/>
    </row>
    <row r="187">
      <c r="A187" s="238"/>
      <c r="B187" s="239" t="s">
        <v>810</v>
      </c>
      <c r="C187" s="217" t="s">
        <v>3018</v>
      </c>
      <c r="D187" s="217" t="s">
        <v>3019</v>
      </c>
      <c r="E187" s="240"/>
      <c r="F187" t="inlineStr">
        <is>
          <t>200 OK:
{
  "success": true,
  "statusCode": 200,
  "data": {
    "walletId": "uuid",
    "userId": "uuid",
    "balance": 1500000.0,
    "lockedBalance": 200000.0,
    "availableBalance": 1300000.0,
    "currency": "VND",
    "status": "ACTIVE",
    "updatedAt": "2026-10-26T00:00:00Z"
  },
  "traceId": "00-4bf92f3577b34da6a3ce929d0e0e4736-00f067aa0ba902b7-01",
  "timestamp": "2026-10-26T00:00:00Z"
}</t>
        </is>
      </c>
      <c r="G187" t="inlineStr">
        <is>
          <t>401 UNAUTHORIZED: Token is missing, expired, or invalid.
403 WALLET_LOCKED: Wallet account is locked or frozen.
404 WALLET_NOT_FOUND: Wallet was not found for the user.</t>
        </is>
      </c>
      <c r="H187" s="148"/>
      <c r="I187" s="197" t="s">
        <v>2732</v>
      </c>
      <c r="J187" s="164"/>
      <c r="K187" s="164"/>
      <c r="L187" s="164"/>
      <c r="M187" s="164"/>
      <c r="N187" s="164"/>
      <c r="O187" s="164"/>
      <c r="P187" s="7"/>
      <c r="Q187" s="7"/>
      <c r="R187" s="7"/>
      <c r="S187" s="7"/>
      <c r="T187" s="7"/>
      <c r="U187" s="7"/>
      <c r="V187" s="7"/>
      <c r="W187" s="7"/>
      <c r="X187" s="7"/>
      <c r="Y187" s="7"/>
      <c r="Z187" s="7"/>
      <c r="AA187" s="7"/>
    </row>
    <row r="188">
      <c r="A188" s="238"/>
      <c r="B188" s="239" t="s">
        <v>53</v>
      </c>
      <c r="C188" s="217" t="s">
        <v>3020</v>
      </c>
      <c r="D188" s="217" t="s">
        <v>3021</v>
      </c>
      <c r="E188" s="240"/>
      <c r="F188" t="inlineStr">
        <is>
          <t>201 Created:
{
  "success": true,
  "statusCode": 201,
  "data": {
    "topupId": "uuid",
    "paymentUrl": "https://sandbox.vnpayment.vn/paymentv2/vpcpay.html?vnp_Amount=50000000...",
    "txnRef": "TOPUP-20261026-1234",
    "expiresIn": 900
  },
  "traceId": "00-4bf92f3577b34da6a3ce929d0e0e4736-00f067aa0ba902b7-01",
  "timestamp": "2026-10-26T00:00:00Z"
}</t>
        </is>
      </c>
      <c r="G188" t="inlineStr">
        <is>
          <t>400 VAL_INVALID_AMOUNT: Deposit amount must be at least 10,000 VND.
401 UNAUTHORIZED: Token is missing, expired, or invalid.
403 WALLET_LOCKED: Wallet account is locked or frozen.</t>
        </is>
      </c>
      <c r="H188" s="148"/>
      <c r="I188" s="202" t="s">
        <v>2749</v>
      </c>
      <c r="J188" s="164"/>
      <c r="K188" s="164"/>
      <c r="L188" s="164"/>
      <c r="M188" s="164"/>
      <c r="N188" s="164"/>
      <c r="O188" s="164"/>
      <c r="P188" s="7"/>
      <c r="Q188" s="7"/>
      <c r="R188" s="7"/>
      <c r="S188" s="7"/>
      <c r="T188" s="7"/>
      <c r="U188" s="7"/>
      <c r="V188" s="7"/>
      <c r="W188" s="7"/>
      <c r="X188" s="7"/>
      <c r="Y188" s="7"/>
      <c r="Z188" s="7"/>
      <c r="AA188" s="7"/>
    </row>
    <row r="189">
      <c r="A189" s="238"/>
      <c r="B189" s="241" t="s">
        <v>53</v>
      </c>
      <c r="C189" s="217" t="s">
        <v>3022</v>
      </c>
      <c r="D189" s="217" t="s">
        <v>3023</v>
      </c>
      <c r="E189" s="240"/>
      <c r="F189" t="inlineStr">
        <is>
          <t>200 OK:
{
  "RspCode": "00",
  "Message": "Confirm success."
}</t>
        </is>
      </c>
      <c r="G189" t="inlineStr">
        <is>
          <t>200 VNPAY_INVALID_CHECKSUM: Invalid checksum hash.
200 VNPAY_ORDER_NOT_FOUND: Order not found.
200 VNPAY_ORDER_ALREADY_CONFIRMED: Order already confirmed.</t>
        </is>
      </c>
      <c r="H189" s="148"/>
      <c r="I189" s="197" t="s">
        <v>1580</v>
      </c>
      <c r="J189" s="164"/>
      <c r="K189" s="164"/>
      <c r="L189" s="164"/>
      <c r="M189" s="164"/>
      <c r="N189" s="164"/>
      <c r="O189" s="164"/>
      <c r="P189" s="7"/>
      <c r="Q189" s="7"/>
      <c r="R189" s="7"/>
      <c r="S189" s="7"/>
      <c r="T189" s="7"/>
      <c r="U189" s="7"/>
      <c r="V189" s="7"/>
      <c r="W189" s="7"/>
      <c r="X189" s="7"/>
      <c r="Y189" s="7"/>
      <c r="Z189" s="7"/>
      <c r="AA189" s="7"/>
    </row>
    <row r="190">
      <c r="A190" s="238"/>
      <c r="B190" s="241" t="s">
        <v>53</v>
      </c>
      <c r="C190" s="217" t="s">
        <v>3024</v>
      </c>
      <c r="D190" s="217" t="s">
        <v>3025</v>
      </c>
      <c r="E190" s="240"/>
      <c r="F190" t="inlineStr">
        <is>
          <t>200 OK:
{
  "success": true,
  "statusCode": 200,
  "data": {
    "transactionId": "uuid",
    "orderId": "uuid",
    "amount": 480000,
    "paymentUrl": "https://sandbox.vnpayment.vn/paymentv2/vpcpay.html?vnp_Amount=48000000...",
    "status": "PENDING",
    "createdAt": "2026-10-26T00:00:00Z"
  },
  "traceId": "00-4bf92f3577b34da6a3ce929d0e0e4736-00f067aa0ba902b7-01",
  "timestamp": "2026-10-26T00:00:00Z"
}</t>
        </is>
      </c>
      <c r="G190" t="inlineStr">
        <is>
          <t>400 VAL_INVALID_AMOUNT: Payment amount must be greater than zero.
400 ORDER_ALREADY_PAID: Order has already been paid.
401 UNAUTHORIZED: Token is missing, expired, or invalid.
404 ORDER_NOT_FOUND: Order was not found.</t>
        </is>
      </c>
      <c r="H190" s="148"/>
      <c r="I190" s="176" t="s">
        <v>2792</v>
      </c>
      <c r="J190" s="164"/>
      <c r="K190" s="164"/>
      <c r="L190" s="164"/>
      <c r="M190" s="164"/>
      <c r="N190" s="164"/>
      <c r="O190" s="164"/>
      <c r="P190" s="7"/>
      <c r="Q190" s="7"/>
      <c r="R190" s="7"/>
      <c r="S190" s="7"/>
      <c r="T190" s="7"/>
      <c r="U190" s="7"/>
      <c r="V190" s="7"/>
      <c r="W190" s="7"/>
      <c r="X190" s="7"/>
      <c r="Y190" s="7"/>
      <c r="Z190" s="7"/>
      <c r="AA190" s="7"/>
    </row>
    <row r="191">
      <c r="A191" s="238"/>
      <c r="B191" s="241" t="s">
        <v>53</v>
      </c>
      <c r="C191" s="217" t="s">
        <v>3026</v>
      </c>
      <c r="D191" s="217" t="s">
        <v>3027</v>
      </c>
      <c r="E191" s="240"/>
      <c r="F191" t="inlineStr">
        <is>
          <t>201 Created:
{
  "success": true,
  "statusCode": 201,
  "data": {
    "withdrawalId": "uuid",
    "amount": 200000,
    "fee": 0,
    "status": "PENDING",
    "requestedAt": "2026-10-26T00:00:00Z"
  },
  "traceId": "00-4bf92f3577b34da6a3ce929d0e0e4736-00f067aa0ba902b7-01",
  "timestamp": "2026-10-26T00:00:00Z"
}</t>
        </is>
      </c>
      <c r="G191" t="inlineStr">
        <is>
          <t>400 INSUFFICIENT_BALANCE: Insufficient available balance for withdrawal.
400 MIN_WITHDRAWAL_LIMIT: Minimum withdrawal amount is 50,000 VND.
401 UNAUTHORIZED: Token is missing, expired, or invalid.
403 FORBIDDEN: Only verified sellers can request withdrawals.</t>
        </is>
      </c>
      <c r="H191" s="148"/>
      <c r="I191" s="202" t="s">
        <v>2816</v>
      </c>
      <c r="J191" s="164"/>
      <c r="K191" s="164"/>
      <c r="L191" s="164"/>
      <c r="M191" s="164"/>
      <c r="N191" s="164"/>
      <c r="O191" s="164"/>
      <c r="P191" s="7"/>
      <c r="Q191" s="7"/>
      <c r="R191" s="7"/>
      <c r="S191" s="7"/>
      <c r="T191" s="7"/>
      <c r="U191" s="7"/>
      <c r="V191" s="7"/>
      <c r="W191" s="7"/>
      <c r="X191" s="7"/>
      <c r="Y191" s="7"/>
      <c r="Z191" s="7"/>
      <c r="AA191" s="7"/>
    </row>
    <row r="192">
      <c r="A192" s="238"/>
      <c r="B192" s="239" t="s">
        <v>644</v>
      </c>
      <c r="C192" s="217" t="s">
        <v>3028</v>
      </c>
      <c r="D192" s="217" t="s">
        <v>3029</v>
      </c>
      <c r="E192" s="240"/>
      <c r="F192" t="inlineStr">
        <is>
          <t>200 OK:
{
  "success": true,
  "statusCode": 200,
  "data": {
    "withdrawalId": "uuid",
    "status": "APPROVED",
    "processedAt": "2026-10-26T00:00:00Z",
    "transactionId": "uuid"
  },
  "traceId": "00-4bf92f3577b34da6a3ce929d0e0e4736-00f067aa0ba902b7-01",
  "timestamp": "2026-10-26T00:00:00Z"
}</t>
        </is>
      </c>
      <c r="G192" t="inlineStr">
        <is>
          <t>400 ALREADY_PROCESSED: Withdrawal request has already been processed.
401 UNAUTHORIZED: Token is missing, expired, or invalid.
403 FORBIDDEN: User does not have administrative permissions.
404 WITHDRAWAL_NOT_FOUND: Withdrawal request was not found.</t>
        </is>
      </c>
      <c r="H192" s="148"/>
      <c r="I192" s="197" t="s">
        <v>2826</v>
      </c>
      <c r="J192" s="164"/>
      <c r="K192" s="164"/>
      <c r="L192" s="164"/>
      <c r="M192" s="164"/>
      <c r="N192" s="164"/>
      <c r="O192" s="164"/>
      <c r="P192" s="7"/>
      <c r="Q192" s="7"/>
      <c r="R192" s="7"/>
      <c r="S192" s="7"/>
      <c r="T192" s="7"/>
      <c r="U192" s="7"/>
      <c r="V192" s="7"/>
      <c r="W192" s="7"/>
      <c r="X192" s="7"/>
      <c r="Y192" s="7"/>
      <c r="Z192" s="7"/>
      <c r="AA192" s="7"/>
    </row>
    <row r="193">
      <c r="A193" s="238"/>
      <c r="B193" s="239" t="s">
        <v>810</v>
      </c>
      <c r="C193" s="217" t="s">
        <v>3030</v>
      </c>
      <c r="D193" s="217" t="s">
        <v>3031</v>
      </c>
      <c r="E193" s="240"/>
      <c r="F193" t="inlineStr">
        <is>
          <t>200 OK:
{
  "success": true,
  "statusCode": 200,
  "data": {
    "items": [
      {
        "id": "uuid",
        "type": "PAYMENT",
        "amount": -480000,
        "balanceAfter": 1020000,
        "status": "SUCCESS",
        "note": "Payment for order #SUB-01",
        "createdAt": "2026-10-26T00:00:00Z"
      }
    ],
    "pagination": {
      "pageIndex": 1,
      "pageSize": 20,
      "totalCount": 1,
      "totalPages": 1,
      "hasPreviousPage": false,
      "hasNextPage": false
    }
  },
  "traceId": "00-4bf92f3577b34da6a3ce929d0e0e4736-00f067aa0ba902b7-01",
  "timestamp": "2026-10-26T00:00:00Z"
}</t>
        </is>
      </c>
      <c r="G193" t="inlineStr">
        <is>
          <t>400 VAL_INVALID_INPUT: Page or limit is invalid.
401 UNAUTHORIZED: Token is missing, expired, or invalid.</t>
        </is>
      </c>
      <c r="H193" s="148"/>
      <c r="I193" s="210" t="s">
        <v>2841</v>
      </c>
      <c r="J193" s="164"/>
      <c r="K193" s="164"/>
      <c r="L193" s="164"/>
      <c r="M193" s="164"/>
      <c r="N193" s="164"/>
      <c r="O193" s="164"/>
      <c r="P193" s="7"/>
      <c r="Q193" s="7"/>
      <c r="R193" s="7"/>
      <c r="S193" s="7"/>
      <c r="T193" s="7"/>
      <c r="U193" s="7"/>
      <c r="V193" s="7"/>
      <c r="W193" s="7"/>
      <c r="X193" s="7"/>
      <c r="Y193" s="7"/>
      <c r="Z193" s="7"/>
      <c r="AA193" s="7"/>
    </row>
    <row r="194">
      <c r="A194" s="238"/>
      <c r="B194" s="239" t="s">
        <v>53</v>
      </c>
      <c r="C194" s="217" t="s">
        <v>3032</v>
      </c>
      <c r="D194" s="217" t="s">
        <v>2861</v>
      </c>
      <c r="E194" s="240"/>
      <c r="F194" t="inlineStr">
        <is>
          <t>200 OK:
{
  "success": true,
  "statusCode": 200,
  "data": {
    "adjustmentId": "uuid",
    "walletId": "uuid",
    "amount": 50000,
    "balanceAfter": 1070000,
    "createdAt": "2026-10-26T00:00:00Z"
  },
  "traceId": "00-4bf92f3577b34da6a3ce929d0e0e4736-00f067aa0ba902b7-01",
  "timestamp": "2026-10-26T00:00:00Z"
}</t>
        </is>
      </c>
      <c r="G194" t="inlineStr">
        <is>
          <t>400 VAL_INVALID_AMOUNT: Adjustment amount must be greater than zero.
401 UNAUTHORIZED: Token is missing, expired, or invalid.
403 FORBIDDEN: User does not have administrative permissions.
404 WALLET_NOT_FOUND: Target wallet was not found.</t>
        </is>
      </c>
      <c r="H194" s="148"/>
      <c r="I194" s="215" t="s">
        <v>2856</v>
      </c>
      <c r="J194" s="164"/>
      <c r="K194" s="164"/>
      <c r="L194" s="164"/>
      <c r="M194" s="164"/>
      <c r="N194" s="164"/>
      <c r="O194" s="164"/>
      <c r="P194" s="7"/>
      <c r="Q194" s="7"/>
      <c r="R194" s="7"/>
      <c r="S194" s="7"/>
      <c r="T194" s="7"/>
      <c r="U194" s="7"/>
      <c r="V194" s="7"/>
      <c r="W194" s="7"/>
      <c r="X194" s="7"/>
      <c r="Y194" s="7"/>
      <c r="Z194" s="7"/>
      <c r="AA194" s="7"/>
    </row>
    <row r="195">
      <c r="A195" s="238"/>
      <c r="B195" s="238"/>
      <c r="C195" s="240"/>
      <c r="D195" s="240"/>
      <c r="E195" s="240"/>
      <c r="F195" s="240"/>
      <c r="G195" s="240"/>
      <c r="H195" s="148"/>
      <c r="I195" s="164"/>
      <c r="J195" s="164"/>
      <c r="K195" s="164"/>
      <c r="L195" s="164"/>
      <c r="M195" s="164"/>
      <c r="N195" s="164"/>
      <c r="O195" s="164"/>
      <c r="P195" s="7"/>
      <c r="Q195" s="7"/>
      <c r="R195" s="7"/>
      <c r="S195" s="7"/>
      <c r="T195" s="7"/>
      <c r="U195" s="7"/>
      <c r="V195" s="7"/>
      <c r="W195" s="7"/>
      <c r="X195" s="7"/>
      <c r="Y195" s="7"/>
      <c r="Z195" s="7"/>
      <c r="AA195" s="7"/>
    </row>
    <row r="196">
      <c r="A196" s="238"/>
      <c r="B196" s="238"/>
      <c r="C196" s="240"/>
      <c r="D196" s="240"/>
      <c r="E196" s="240"/>
      <c r="F196" s="240"/>
      <c r="G196" s="240"/>
      <c r="H196" s="148"/>
      <c r="I196" s="164"/>
      <c r="J196" s="164"/>
      <c r="K196" s="164"/>
      <c r="L196" s="164"/>
      <c r="M196" s="164"/>
      <c r="N196" s="164"/>
      <c r="O196" s="164"/>
      <c r="P196" s="7"/>
      <c r="Q196" s="7"/>
      <c r="R196" s="7"/>
      <c r="S196" s="7"/>
      <c r="T196" s="7"/>
      <c r="U196" s="7"/>
      <c r="V196" s="7"/>
      <c r="W196" s="7"/>
      <c r="X196" s="7"/>
      <c r="Y196" s="7"/>
      <c r="Z196" s="7"/>
      <c r="AA196" s="7"/>
    </row>
    <row r="197">
      <c r="A197" s="238"/>
      <c r="B197" s="238"/>
      <c r="C197" s="240"/>
      <c r="D197" s="240"/>
      <c r="E197" s="240"/>
      <c r="F197" s="240"/>
      <c r="G197" s="240"/>
      <c r="H197" s="148"/>
      <c r="I197" s="164"/>
      <c r="J197" s="164"/>
      <c r="K197" s="164"/>
      <c r="L197" s="164"/>
      <c r="M197" s="164"/>
      <c r="N197" s="164"/>
      <c r="O197" s="164"/>
      <c r="P197" s="7"/>
      <c r="Q197" s="7"/>
      <c r="R197" s="7"/>
      <c r="S197" s="7"/>
      <c r="T197" s="7"/>
      <c r="U197" s="7"/>
      <c r="V197" s="7"/>
      <c r="W197" s="7"/>
      <c r="X197" s="7"/>
      <c r="Y197" s="7"/>
      <c r="Z197" s="7"/>
      <c r="AA197" s="7"/>
    </row>
    <row r="198">
      <c r="A198" s="238"/>
      <c r="B198" s="238"/>
      <c r="C198" s="240"/>
      <c r="D198" s="240"/>
      <c r="E198" s="240"/>
      <c r="F198" s="240"/>
      <c r="G198" s="240"/>
      <c r="H198" s="148"/>
      <c r="I198" s="164"/>
      <c r="J198" s="164"/>
      <c r="K198" s="164"/>
      <c r="L198" s="164"/>
      <c r="M198" s="164"/>
      <c r="N198" s="164"/>
      <c r="O198" s="164"/>
      <c r="P198" s="7"/>
      <c r="Q198" s="7"/>
      <c r="R198" s="7"/>
      <c r="S198" s="7"/>
      <c r="T198" s="7"/>
      <c r="U198" s="7"/>
      <c r="V198" s="7"/>
      <c r="W198" s="7"/>
      <c r="X198" s="7"/>
      <c r="Y198" s="7"/>
      <c r="Z198" s="7"/>
      <c r="AA198" s="7"/>
    </row>
    <row r="199">
      <c r="A199" s="238"/>
      <c r="B199" s="238"/>
      <c r="C199" s="240"/>
      <c r="D199" s="240"/>
      <c r="E199" s="240"/>
      <c r="F199" s="240"/>
      <c r="G199" s="240"/>
      <c r="H199" s="148"/>
      <c r="I199" s="164"/>
      <c r="J199" s="164"/>
      <c r="K199" s="164"/>
      <c r="L199" s="164"/>
      <c r="M199" s="164"/>
      <c r="N199" s="164"/>
      <c r="O199" s="164"/>
      <c r="P199" s="7"/>
      <c r="Q199" s="7"/>
      <c r="R199" s="7"/>
      <c r="S199" s="7"/>
      <c r="T199" s="7"/>
      <c r="U199" s="7"/>
      <c r="V199" s="7"/>
      <c r="W199" s="7"/>
      <c r="X199" s="7"/>
      <c r="Y199" s="7"/>
      <c r="Z199" s="7"/>
      <c r="AA199" s="7"/>
    </row>
    <row r="200">
      <c r="A200" s="238"/>
      <c r="B200" s="238"/>
      <c r="C200" s="240"/>
      <c r="D200" s="240"/>
      <c r="E200" s="240"/>
      <c r="F200" s="240"/>
      <c r="G200" s="240"/>
      <c r="H200" s="148"/>
      <c r="I200" s="164"/>
      <c r="J200" s="164"/>
      <c r="K200" s="164"/>
      <c r="L200" s="164"/>
      <c r="M200" s="164"/>
      <c r="N200" s="164"/>
      <c r="O200" s="164"/>
      <c r="P200" s="7"/>
      <c r="Q200" s="7"/>
      <c r="R200" s="7"/>
      <c r="S200" s="7"/>
      <c r="T200" s="7"/>
      <c r="U200" s="7"/>
      <c r="V200" s="7"/>
      <c r="W200" s="7"/>
      <c r="X200" s="7"/>
      <c r="Y200" s="7"/>
      <c r="Z200" s="7"/>
      <c r="AA200" s="7"/>
    </row>
    <row r="201">
      <c r="A201" s="238"/>
      <c r="B201" s="238"/>
      <c r="C201" s="240"/>
      <c r="D201" s="240"/>
      <c r="E201" s="240"/>
      <c r="F201" s="240"/>
      <c r="G201" s="240"/>
      <c r="H201" s="148"/>
      <c r="I201" s="164"/>
      <c r="J201" s="164"/>
      <c r="K201" s="164"/>
      <c r="L201" s="164"/>
      <c r="M201" s="164"/>
      <c r="N201" s="164"/>
      <c r="O201" s="164"/>
      <c r="P201" s="7"/>
      <c r="Q201" s="7"/>
      <c r="R201" s="7"/>
      <c r="S201" s="7"/>
      <c r="T201" s="7"/>
      <c r="U201" s="7"/>
      <c r="V201" s="7"/>
      <c r="W201" s="7"/>
      <c r="X201" s="7"/>
      <c r="Y201" s="7"/>
      <c r="Z201" s="7"/>
      <c r="AA201" s="7"/>
    </row>
    <row r="202">
      <c r="A202" s="238"/>
      <c r="B202" s="238"/>
      <c r="C202" s="240"/>
      <c r="D202" s="240"/>
      <c r="E202" s="240"/>
      <c r="F202" s="240"/>
      <c r="G202" s="240"/>
      <c r="H202" s="148"/>
      <c r="I202" s="164"/>
      <c r="J202" s="164"/>
      <c r="K202" s="164"/>
      <c r="L202" s="164"/>
      <c r="M202" s="164"/>
      <c r="N202" s="164"/>
      <c r="O202" s="164"/>
      <c r="P202" s="7"/>
      <c r="Q202" s="7"/>
      <c r="R202" s="7"/>
      <c r="S202" s="7"/>
      <c r="T202" s="7"/>
      <c r="U202" s="7"/>
      <c r="V202" s="7"/>
      <c r="W202" s="7"/>
      <c r="X202" s="7"/>
      <c r="Y202" s="7"/>
      <c r="Z202" s="7"/>
      <c r="AA202" s="7"/>
    </row>
    <row r="203">
      <c r="A203" s="238"/>
      <c r="B203" s="238"/>
      <c r="C203" s="240"/>
      <c r="D203" s="240"/>
      <c r="E203" s="240"/>
      <c r="F203" s="240"/>
      <c r="G203" s="240"/>
      <c r="H203" s="148"/>
      <c r="I203" s="164"/>
      <c r="J203" s="164"/>
      <c r="K203" s="164"/>
      <c r="L203" s="164"/>
      <c r="M203" s="164"/>
      <c r="N203" s="164"/>
      <c r="O203" s="164"/>
      <c r="P203" s="7"/>
      <c r="Q203" s="7"/>
      <c r="R203" s="7"/>
      <c r="S203" s="7"/>
      <c r="T203" s="7"/>
      <c r="U203" s="7"/>
      <c r="V203" s="7"/>
      <c r="W203" s="7"/>
      <c r="X203" s="7"/>
      <c r="Y203" s="7"/>
      <c r="Z203" s="7"/>
      <c r="AA203" s="7"/>
    </row>
    <row r="204">
      <c r="A204" s="238"/>
      <c r="B204" s="238"/>
      <c r="C204" s="240"/>
      <c r="D204" s="240"/>
      <c r="E204" s="240"/>
      <c r="F204" s="240"/>
      <c r="G204" s="240"/>
      <c r="H204" s="148"/>
      <c r="I204" s="164"/>
      <c r="J204" s="164"/>
      <c r="K204" s="164"/>
      <c r="L204" s="164"/>
      <c r="M204" s="164"/>
      <c r="N204" s="164"/>
      <c r="O204" s="164"/>
      <c r="P204" s="7"/>
      <c r="Q204" s="7"/>
      <c r="R204" s="7"/>
      <c r="S204" s="7"/>
      <c r="T204" s="7"/>
      <c r="U204" s="7"/>
      <c r="V204" s="7"/>
      <c r="W204" s="7"/>
      <c r="X204" s="7"/>
      <c r="Y204" s="7"/>
      <c r="Z204" s="7"/>
      <c r="AA204" s="7"/>
    </row>
    <row r="205">
      <c r="A205" s="238"/>
      <c r="B205" s="238"/>
      <c r="C205" s="240"/>
      <c r="D205" s="240"/>
      <c r="E205" s="240"/>
      <c r="F205" s="240"/>
      <c r="G205" s="240"/>
      <c r="H205" s="148"/>
      <c r="I205" s="164"/>
      <c r="J205" s="164"/>
      <c r="K205" s="164"/>
      <c r="L205" s="164"/>
      <c r="M205" s="164"/>
      <c r="N205" s="164"/>
      <c r="O205" s="164"/>
      <c r="P205" s="7"/>
      <c r="Q205" s="7"/>
      <c r="R205" s="7"/>
      <c r="S205" s="7"/>
      <c r="T205" s="7"/>
      <c r="U205" s="7"/>
      <c r="V205" s="7"/>
      <c r="W205" s="7"/>
      <c r="X205" s="7"/>
      <c r="Y205" s="7"/>
      <c r="Z205" s="7"/>
      <c r="AA205" s="7"/>
    </row>
    <row r="206">
      <c r="A206" s="238"/>
      <c r="B206" s="238"/>
      <c r="C206" s="240"/>
      <c r="D206" s="240"/>
      <c r="E206" s="240"/>
      <c r="F206" s="240"/>
      <c r="G206" s="240"/>
      <c r="H206" s="148"/>
      <c r="I206" s="164"/>
      <c r="J206" s="164"/>
      <c r="K206" s="164"/>
      <c r="L206" s="164"/>
      <c r="M206" s="164"/>
      <c r="N206" s="164"/>
      <c r="O206" s="164"/>
      <c r="P206" s="7"/>
      <c r="Q206" s="7"/>
      <c r="R206" s="7"/>
      <c r="S206" s="7"/>
      <c r="T206" s="7"/>
      <c r="U206" s="7"/>
      <c r="V206" s="7"/>
      <c r="W206" s="7"/>
      <c r="X206" s="7"/>
      <c r="Y206" s="7"/>
      <c r="Z206" s="7"/>
      <c r="AA206" s="7"/>
    </row>
    <row r="207">
      <c r="A207" s="238"/>
      <c r="B207" s="238"/>
      <c r="C207" s="240"/>
      <c r="D207" s="240"/>
      <c r="E207" s="240"/>
      <c r="F207" s="240"/>
      <c r="G207" s="240"/>
      <c r="H207" s="148"/>
      <c r="I207" s="164"/>
      <c r="J207" s="164"/>
      <c r="K207" s="164"/>
      <c r="L207" s="164"/>
      <c r="M207" s="164"/>
      <c r="N207" s="164"/>
      <c r="O207" s="164"/>
      <c r="P207" s="7"/>
      <c r="Q207" s="7"/>
      <c r="R207" s="7"/>
      <c r="S207" s="7"/>
      <c r="T207" s="7"/>
      <c r="U207" s="7"/>
      <c r="V207" s="7"/>
      <c r="W207" s="7"/>
      <c r="X207" s="7"/>
      <c r="Y207" s="7"/>
      <c r="Z207" s="7"/>
      <c r="AA207" s="7"/>
    </row>
    <row r="208">
      <c r="A208" s="238"/>
      <c r="B208" s="238"/>
      <c r="C208" s="240"/>
      <c r="D208" s="240"/>
      <c r="E208" s="240"/>
      <c r="F208" s="240"/>
      <c r="G208" s="240"/>
      <c r="H208" s="148"/>
      <c r="I208" s="164"/>
      <c r="J208" s="164"/>
      <c r="K208" s="164"/>
      <c r="L208" s="164"/>
      <c r="M208" s="164"/>
      <c r="N208" s="164"/>
      <c r="O208" s="164"/>
      <c r="P208" s="7"/>
      <c r="Q208" s="7"/>
      <c r="R208" s="7"/>
      <c r="S208" s="7"/>
      <c r="T208" s="7"/>
      <c r="U208" s="7"/>
      <c r="V208" s="7"/>
      <c r="W208" s="7"/>
      <c r="X208" s="7"/>
      <c r="Y208" s="7"/>
      <c r="Z208" s="7"/>
      <c r="AA208" s="7"/>
    </row>
    <row r="209">
      <c r="A209" s="242"/>
      <c r="B209" s="242"/>
      <c r="C209" s="177"/>
      <c r="D209" s="177"/>
      <c r="E209" s="177"/>
      <c r="F209" s="177"/>
      <c r="G209" s="177"/>
      <c r="H209" s="148"/>
      <c r="I209" s="7"/>
      <c r="J209" s="7"/>
      <c r="K209" s="7"/>
      <c r="L209" s="7"/>
      <c r="M209" s="7"/>
      <c r="N209" s="7"/>
      <c r="O209" s="7"/>
      <c r="P209" s="7"/>
      <c r="Q209" s="7"/>
      <c r="R209" s="7"/>
      <c r="S209" s="7"/>
      <c r="T209" s="7"/>
      <c r="U209" s="7"/>
      <c r="V209" s="7"/>
      <c r="W209" s="7"/>
      <c r="X209" s="7"/>
      <c r="Y209" s="7"/>
      <c r="Z209" s="7"/>
      <c r="AA209" s="7"/>
    </row>
    <row r="210">
      <c r="A210" s="242"/>
      <c r="B210" s="242"/>
      <c r="C210" s="177"/>
      <c r="D210" s="177"/>
      <c r="E210" s="177"/>
      <c r="F210" s="177"/>
      <c r="G210" s="177"/>
      <c r="H210" s="148"/>
      <c r="I210" s="7"/>
      <c r="J210" s="7"/>
      <c r="K210" s="7"/>
      <c r="L210" s="7"/>
      <c r="M210" s="7"/>
      <c r="N210" s="7"/>
      <c r="O210" s="7"/>
      <c r="P210" s="7"/>
      <c r="Q210" s="7"/>
      <c r="R210" s="7"/>
      <c r="S210" s="7"/>
      <c r="T210" s="7"/>
      <c r="U210" s="7"/>
      <c r="V210" s="7"/>
      <c r="W210" s="7"/>
      <c r="X210" s="7"/>
      <c r="Y210" s="7"/>
      <c r="Z210" s="7"/>
      <c r="AA210" s="7"/>
    </row>
    <row r="211">
      <c r="A211" s="242"/>
      <c r="B211" s="242"/>
      <c r="C211" s="177"/>
      <c r="D211" s="177"/>
      <c r="E211" s="177"/>
      <c r="F211" s="177"/>
      <c r="G211" s="177"/>
      <c r="H211" s="148"/>
      <c r="I211" s="7"/>
      <c r="J211" s="7"/>
      <c r="K211" s="7"/>
      <c r="L211" s="7"/>
      <c r="M211" s="7"/>
      <c r="N211" s="7"/>
      <c r="O211" s="7"/>
      <c r="P211" s="7"/>
      <c r="Q211" s="7"/>
      <c r="R211" s="7"/>
      <c r="S211" s="7"/>
      <c r="T211" s="7"/>
      <c r="U211" s="7"/>
      <c r="V211" s="7"/>
      <c r="W211" s="7"/>
      <c r="X211" s="7"/>
      <c r="Y211" s="7"/>
      <c r="Z211" s="7"/>
      <c r="AA211" s="7"/>
    </row>
    <row r="212">
      <c r="A212" s="242"/>
      <c r="B212" s="242"/>
      <c r="C212" s="177"/>
      <c r="D212" s="177"/>
      <c r="E212" s="177"/>
      <c r="F212" s="177"/>
      <c r="G212" s="177"/>
      <c r="H212" s="148"/>
      <c r="I212" s="7"/>
      <c r="J212" s="7"/>
      <c r="K212" s="7"/>
      <c r="L212" s="7"/>
      <c r="M212" s="7"/>
      <c r="N212" s="7"/>
      <c r="O212" s="7"/>
      <c r="P212" s="7"/>
      <c r="Q212" s="7"/>
      <c r="R212" s="7"/>
      <c r="S212" s="7"/>
      <c r="T212" s="7"/>
      <c r="U212" s="7"/>
      <c r="V212" s="7"/>
      <c r="W212" s="7"/>
      <c r="X212" s="7"/>
      <c r="Y212" s="7"/>
      <c r="Z212" s="7"/>
      <c r="AA212" s="7"/>
    </row>
    <row r="213">
      <c r="A213" s="242"/>
      <c r="B213" s="242"/>
      <c r="C213" s="177"/>
      <c r="D213" s="177"/>
      <c r="E213" s="177"/>
      <c r="F213" s="177"/>
      <c r="G213" s="177"/>
      <c r="H213" s="148"/>
      <c r="I213" s="7"/>
      <c r="J213" s="7"/>
      <c r="K213" s="7"/>
      <c r="L213" s="7"/>
      <c r="M213" s="7"/>
      <c r="N213" s="7"/>
      <c r="O213" s="7"/>
      <c r="P213" s="7"/>
      <c r="Q213" s="7"/>
      <c r="R213" s="7"/>
      <c r="S213" s="7"/>
      <c r="T213" s="7"/>
      <c r="U213" s="7"/>
      <c r="V213" s="7"/>
      <c r="W213" s="7"/>
      <c r="X213" s="7"/>
      <c r="Y213" s="7"/>
      <c r="Z213" s="7"/>
      <c r="AA213" s="7"/>
    </row>
    <row r="214">
      <c r="A214" s="242"/>
      <c r="B214" s="242"/>
      <c r="C214" s="177"/>
      <c r="D214" s="177"/>
      <c r="E214" s="177"/>
      <c r="F214" s="177"/>
      <c r="G214" s="177"/>
      <c r="H214" s="148"/>
      <c r="I214" s="7"/>
      <c r="J214" s="7"/>
      <c r="K214" s="7"/>
      <c r="L214" s="7"/>
      <c r="M214" s="7"/>
      <c r="N214" s="7"/>
      <c r="O214" s="7"/>
      <c r="P214" s="7"/>
      <c r="Q214" s="7"/>
      <c r="R214" s="7"/>
      <c r="S214" s="7"/>
      <c r="T214" s="7"/>
      <c r="U214" s="7"/>
      <c r="V214" s="7"/>
      <c r="W214" s="7"/>
      <c r="X214" s="7"/>
      <c r="Y214" s="7"/>
      <c r="Z214" s="7"/>
      <c r="AA214" s="7"/>
    </row>
    <row r="215">
      <c r="A215" s="242"/>
      <c r="B215" s="242"/>
      <c r="C215" s="177"/>
      <c r="D215" s="177"/>
      <c r="E215" s="177"/>
      <c r="F215" s="177"/>
      <c r="G215" s="177"/>
      <c r="H215" s="148"/>
      <c r="I215" s="7"/>
      <c r="J215" s="7"/>
      <c r="K215" s="7"/>
      <c r="L215" s="7"/>
      <c r="M215" s="7"/>
      <c r="N215" s="7"/>
      <c r="O215" s="7"/>
      <c r="P215" s="7"/>
      <c r="Q215" s="7"/>
      <c r="R215" s="7"/>
      <c r="S215" s="7"/>
      <c r="T215" s="7"/>
      <c r="U215" s="7"/>
      <c r="V215" s="7"/>
      <c r="W215" s="7"/>
      <c r="X215" s="7"/>
      <c r="Y215" s="7"/>
      <c r="Z215" s="7"/>
      <c r="AA215" s="7"/>
    </row>
    <row r="216">
      <c r="A216" s="242"/>
      <c r="B216" s="242"/>
      <c r="C216" s="177"/>
      <c r="D216" s="177"/>
      <c r="E216" s="177"/>
      <c r="F216" s="177"/>
      <c r="G216" s="177"/>
      <c r="H216" s="148"/>
      <c r="I216" s="7"/>
      <c r="J216" s="7"/>
      <c r="K216" s="7"/>
      <c r="L216" s="7"/>
      <c r="M216" s="7"/>
      <c r="N216" s="7"/>
      <c r="O216" s="7"/>
      <c r="P216" s="7"/>
      <c r="Q216" s="7"/>
      <c r="R216" s="7"/>
      <c r="S216" s="7"/>
      <c r="T216" s="7"/>
      <c r="U216" s="7"/>
      <c r="V216" s="7"/>
      <c r="W216" s="7"/>
      <c r="X216" s="7"/>
      <c r="Y216" s="7"/>
      <c r="Z216" s="7"/>
      <c r="AA216" s="7"/>
    </row>
    <row r="217">
      <c r="A217" s="242"/>
      <c r="B217" s="242"/>
      <c r="C217" s="177"/>
      <c r="D217" s="177"/>
      <c r="E217" s="177"/>
      <c r="F217" s="177"/>
      <c r="G217" s="177"/>
      <c r="H217" s="148"/>
      <c r="I217" s="7"/>
      <c r="J217" s="7"/>
      <c r="K217" s="7"/>
      <c r="L217" s="7"/>
      <c r="M217" s="7"/>
      <c r="N217" s="7"/>
      <c r="O217" s="7"/>
      <c r="P217" s="7"/>
      <c r="Q217" s="7"/>
      <c r="R217" s="7"/>
      <c r="S217" s="7"/>
      <c r="T217" s="7"/>
      <c r="U217" s="7"/>
      <c r="V217" s="7"/>
      <c r="W217" s="7"/>
      <c r="X217" s="7"/>
      <c r="Y217" s="7"/>
      <c r="Z217" s="7"/>
      <c r="AA217" s="7"/>
    </row>
    <row r="218">
      <c r="A218" s="242"/>
      <c r="B218" s="242"/>
      <c r="C218" s="177"/>
      <c r="D218" s="177"/>
      <c r="E218" s="177"/>
      <c r="F218" s="177"/>
      <c r="G218" s="177"/>
      <c r="H218" s="148"/>
      <c r="I218" s="7"/>
      <c r="J218" s="7"/>
      <c r="K218" s="7"/>
      <c r="L218" s="7"/>
      <c r="M218" s="7"/>
      <c r="N218" s="7"/>
      <c r="O218" s="7"/>
      <c r="P218" s="7"/>
      <c r="Q218" s="7"/>
      <c r="R218" s="7"/>
      <c r="S218" s="7"/>
      <c r="T218" s="7"/>
      <c r="U218" s="7"/>
      <c r="V218" s="7"/>
      <c r="W218" s="7"/>
      <c r="X218" s="7"/>
      <c r="Y218" s="7"/>
      <c r="Z218" s="7"/>
      <c r="AA218" s="7"/>
    </row>
    <row r="219">
      <c r="A219" s="242"/>
      <c r="B219" s="242"/>
      <c r="C219" s="177"/>
      <c r="D219" s="177"/>
      <c r="E219" s="177"/>
      <c r="F219" s="177"/>
      <c r="G219" s="177"/>
      <c r="H219" s="148"/>
      <c r="I219" s="7"/>
      <c r="J219" s="7"/>
      <c r="K219" s="7"/>
      <c r="L219" s="7"/>
      <c r="M219" s="7"/>
      <c r="N219" s="7"/>
      <c r="O219" s="7"/>
      <c r="P219" s="7"/>
      <c r="Q219" s="7"/>
      <c r="R219" s="7"/>
      <c r="S219" s="7"/>
      <c r="T219" s="7"/>
      <c r="U219" s="7"/>
      <c r="V219" s="7"/>
      <c r="W219" s="7"/>
      <c r="X219" s="7"/>
      <c r="Y219" s="7"/>
      <c r="Z219" s="7"/>
      <c r="AA219" s="7"/>
    </row>
    <row r="220">
      <c r="A220" s="242"/>
      <c r="B220" s="242"/>
      <c r="C220" s="177"/>
      <c r="D220" s="177"/>
      <c r="E220" s="177"/>
      <c r="F220" s="177"/>
      <c r="G220" s="177"/>
      <c r="H220" s="148"/>
      <c r="I220" s="7"/>
      <c r="J220" s="7"/>
      <c r="K220" s="7"/>
      <c r="L220" s="7"/>
      <c r="M220" s="7"/>
      <c r="N220" s="7"/>
      <c r="O220" s="7"/>
      <c r="P220" s="7"/>
      <c r="Q220" s="7"/>
      <c r="R220" s="7"/>
      <c r="S220" s="7"/>
      <c r="T220" s="7"/>
      <c r="U220" s="7"/>
      <c r="V220" s="7"/>
      <c r="W220" s="7"/>
      <c r="X220" s="7"/>
      <c r="Y220" s="7"/>
      <c r="Z220" s="7"/>
      <c r="AA220" s="7"/>
    </row>
    <row r="221">
      <c r="A221" s="242"/>
      <c r="B221" s="242"/>
      <c r="C221" s="177"/>
      <c r="D221" s="177"/>
      <c r="E221" s="177"/>
      <c r="F221" s="177"/>
      <c r="G221" s="177"/>
      <c r="H221" s="148"/>
      <c r="I221" s="7"/>
      <c r="J221" s="7"/>
      <c r="K221" s="7"/>
      <c r="L221" s="7"/>
      <c r="M221" s="7"/>
      <c r="N221" s="7"/>
      <c r="O221" s="7"/>
      <c r="P221" s="7"/>
      <c r="Q221" s="7"/>
      <c r="R221" s="7"/>
      <c r="S221" s="7"/>
      <c r="T221" s="7"/>
      <c r="U221" s="7"/>
      <c r="V221" s="7"/>
      <c r="W221" s="7"/>
      <c r="X221" s="7"/>
      <c r="Y221" s="7"/>
      <c r="Z221" s="7"/>
      <c r="AA221" s="7"/>
    </row>
    <row r="222">
      <c r="A222" s="242"/>
      <c r="B222" s="242"/>
      <c r="C222" s="177"/>
      <c r="D222" s="177"/>
      <c r="E222" s="177"/>
      <c r="F222" s="177"/>
      <c r="G222" s="177"/>
      <c r="H222" s="148"/>
      <c r="I222" s="7"/>
      <c r="J222" s="7"/>
      <c r="K222" s="7"/>
      <c r="L222" s="7"/>
      <c r="M222" s="7"/>
      <c r="N222" s="7"/>
      <c r="O222" s="7"/>
      <c r="P222" s="7"/>
      <c r="Q222" s="7"/>
      <c r="R222" s="7"/>
      <c r="S222" s="7"/>
      <c r="T222" s="7"/>
      <c r="U222" s="7"/>
      <c r="V222" s="7"/>
      <c r="W222" s="7"/>
      <c r="X222" s="7"/>
      <c r="Y222" s="7"/>
      <c r="Z222" s="7"/>
      <c r="AA222" s="7"/>
    </row>
    <row r="223">
      <c r="A223" s="242"/>
      <c r="B223" s="242"/>
      <c r="C223" s="177"/>
      <c r="D223" s="177"/>
      <c r="E223" s="177"/>
      <c r="F223" s="177"/>
      <c r="G223" s="177"/>
      <c r="H223" s="148"/>
      <c r="I223" s="7"/>
      <c r="J223" s="7"/>
      <c r="K223" s="7"/>
      <c r="L223" s="7"/>
      <c r="M223" s="7"/>
      <c r="N223" s="7"/>
      <c r="O223" s="7"/>
      <c r="P223" s="7"/>
      <c r="Q223" s="7"/>
      <c r="R223" s="7"/>
      <c r="S223" s="7"/>
      <c r="T223" s="7"/>
      <c r="U223" s="7"/>
      <c r="V223" s="7"/>
      <c r="W223" s="7"/>
      <c r="X223" s="7"/>
      <c r="Y223" s="7"/>
      <c r="Z223" s="7"/>
      <c r="AA223" s="7"/>
    </row>
    <row r="224">
      <c r="A224" s="242"/>
      <c r="B224" s="242"/>
      <c r="C224" s="177"/>
      <c r="D224" s="177"/>
      <c r="E224" s="177"/>
      <c r="F224" s="177"/>
      <c r="G224" s="177"/>
      <c r="H224" s="148"/>
      <c r="I224" s="7"/>
      <c r="J224" s="7"/>
      <c r="K224" s="7"/>
      <c r="L224" s="7"/>
      <c r="M224" s="7"/>
      <c r="N224" s="7"/>
      <c r="O224" s="7"/>
      <c r="P224" s="7"/>
      <c r="Q224" s="7"/>
      <c r="R224" s="7"/>
      <c r="S224" s="7"/>
      <c r="T224" s="7"/>
      <c r="U224" s="7"/>
      <c r="V224" s="7"/>
      <c r="W224" s="7"/>
      <c r="X224" s="7"/>
      <c r="Y224" s="7"/>
      <c r="Z224" s="7"/>
      <c r="AA224" s="7"/>
    </row>
    <row r="225">
      <c r="A225" s="242"/>
      <c r="B225" s="242"/>
      <c r="C225" s="177"/>
      <c r="D225" s="177"/>
      <c r="E225" s="177"/>
      <c r="F225" s="177"/>
      <c r="G225" s="177"/>
      <c r="H225" s="148"/>
      <c r="I225" s="7"/>
      <c r="J225" s="7"/>
      <c r="K225" s="7"/>
      <c r="L225" s="7"/>
      <c r="M225" s="7"/>
      <c r="N225" s="7"/>
      <c r="O225" s="7"/>
      <c r="P225" s="7"/>
      <c r="Q225" s="7"/>
      <c r="R225" s="7"/>
      <c r="S225" s="7"/>
      <c r="T225" s="7"/>
      <c r="U225" s="7"/>
      <c r="V225" s="7"/>
      <c r="W225" s="7"/>
      <c r="X225" s="7"/>
      <c r="Y225" s="7"/>
      <c r="Z225" s="7"/>
      <c r="AA225" s="7"/>
    </row>
    <row r="226">
      <c r="A226" s="242"/>
      <c r="B226" s="242"/>
      <c r="C226" s="177"/>
      <c r="D226" s="177"/>
      <c r="E226" s="177"/>
      <c r="F226" s="177"/>
      <c r="G226" s="177"/>
      <c r="H226" s="148"/>
      <c r="I226" s="7"/>
      <c r="J226" s="7"/>
      <c r="K226" s="7"/>
      <c r="L226" s="7"/>
      <c r="M226" s="7"/>
      <c r="N226" s="7"/>
      <c r="O226" s="7"/>
      <c r="P226" s="7"/>
      <c r="Q226" s="7"/>
      <c r="R226" s="7"/>
      <c r="S226" s="7"/>
      <c r="T226" s="7"/>
      <c r="U226" s="7"/>
      <c r="V226" s="7"/>
      <c r="W226" s="7"/>
      <c r="X226" s="7"/>
      <c r="Y226" s="7"/>
      <c r="Z226" s="7"/>
      <c r="AA226" s="7"/>
    </row>
    <row r="227">
      <c r="A227" s="242"/>
      <c r="B227" s="242"/>
      <c r="C227" s="177"/>
      <c r="D227" s="177"/>
      <c r="E227" s="177"/>
      <c r="F227" s="177"/>
      <c r="G227" s="177"/>
      <c r="H227" s="148"/>
      <c r="I227" s="7"/>
      <c r="J227" s="7"/>
      <c r="K227" s="7"/>
      <c r="L227" s="7"/>
      <c r="M227" s="7"/>
      <c r="N227" s="7"/>
      <c r="O227" s="7"/>
      <c r="P227" s="7"/>
      <c r="Q227" s="7"/>
      <c r="R227" s="7"/>
      <c r="S227" s="7"/>
      <c r="T227" s="7"/>
      <c r="U227" s="7"/>
      <c r="V227" s="7"/>
      <c r="W227" s="7"/>
      <c r="X227" s="7"/>
      <c r="Y227" s="7"/>
      <c r="Z227" s="7"/>
      <c r="AA227" s="7"/>
    </row>
    <row r="228">
      <c r="A228" s="242"/>
      <c r="B228" s="242"/>
      <c r="C228" s="177"/>
      <c r="D228" s="177"/>
      <c r="E228" s="177"/>
      <c r="F228" s="177"/>
      <c r="G228" s="177"/>
      <c r="H228" s="148"/>
      <c r="I228" s="7"/>
      <c r="J228" s="7"/>
      <c r="K228" s="7"/>
      <c r="L228" s="7"/>
      <c r="M228" s="7"/>
      <c r="N228" s="7"/>
      <c r="O228" s="7"/>
      <c r="P228" s="7"/>
      <c r="Q228" s="7"/>
      <c r="R228" s="7"/>
      <c r="S228" s="7"/>
      <c r="T228" s="7"/>
      <c r="U228" s="7"/>
      <c r="V228" s="7"/>
      <c r="W228" s="7"/>
      <c r="X228" s="7"/>
      <c r="Y228" s="7"/>
      <c r="Z228" s="7"/>
      <c r="AA228" s="7"/>
    </row>
    <row r="229">
      <c r="A229" s="242"/>
      <c r="B229" s="242"/>
      <c r="C229" s="177"/>
      <c r="D229" s="177"/>
      <c r="E229" s="177"/>
      <c r="F229" s="177"/>
      <c r="G229" s="177"/>
      <c r="H229" s="148"/>
      <c r="I229" s="7"/>
      <c r="J229" s="7"/>
      <c r="K229" s="7"/>
      <c r="L229" s="7"/>
      <c r="M229" s="7"/>
      <c r="N229" s="7"/>
      <c r="O229" s="7"/>
      <c r="P229" s="7"/>
      <c r="Q229" s="7"/>
      <c r="R229" s="7"/>
      <c r="S229" s="7"/>
      <c r="T229" s="7"/>
      <c r="U229" s="7"/>
      <c r="V229" s="7"/>
      <c r="W229" s="7"/>
      <c r="X229" s="7"/>
      <c r="Y229" s="7"/>
      <c r="Z229" s="7"/>
      <c r="AA229" s="7"/>
    </row>
    <row r="230">
      <c r="A230" s="242"/>
      <c r="B230" s="242"/>
      <c r="C230" s="177"/>
      <c r="D230" s="177"/>
      <c r="E230" s="177"/>
      <c r="F230" s="177"/>
      <c r="G230" s="177"/>
      <c r="H230" s="148"/>
      <c r="I230" s="7"/>
      <c r="J230" s="7"/>
      <c r="K230" s="7"/>
      <c r="L230" s="7"/>
      <c r="M230" s="7"/>
      <c r="N230" s="7"/>
      <c r="O230" s="7"/>
      <c r="P230" s="7"/>
      <c r="Q230" s="7"/>
      <c r="R230" s="7"/>
      <c r="S230" s="7"/>
      <c r="T230" s="7"/>
      <c r="U230" s="7"/>
      <c r="V230" s="7"/>
      <c r="W230" s="7"/>
      <c r="X230" s="7"/>
      <c r="Y230" s="7"/>
      <c r="Z230" s="7"/>
      <c r="AA230" s="7"/>
    </row>
    <row r="231">
      <c r="A231" s="242"/>
      <c r="B231" s="242"/>
      <c r="C231" s="177"/>
      <c r="D231" s="177"/>
      <c r="E231" s="177"/>
      <c r="F231" s="177"/>
      <c r="G231" s="177"/>
      <c r="H231" s="148"/>
      <c r="I231" s="7"/>
      <c r="J231" s="7"/>
      <c r="K231" s="7"/>
      <c r="L231" s="7"/>
      <c r="M231" s="7"/>
      <c r="N231" s="7"/>
      <c r="O231" s="7"/>
      <c r="P231" s="7"/>
      <c r="Q231" s="7"/>
      <c r="R231" s="7"/>
      <c r="S231" s="7"/>
      <c r="T231" s="7"/>
      <c r="U231" s="7"/>
      <c r="V231" s="7"/>
      <c r="W231" s="7"/>
      <c r="X231" s="7"/>
      <c r="Y231" s="7"/>
      <c r="Z231" s="7"/>
      <c r="AA231" s="7"/>
    </row>
    <row r="232">
      <c r="A232" s="242"/>
      <c r="B232" s="242"/>
      <c r="C232" s="177"/>
      <c r="D232" s="177"/>
      <c r="E232" s="177"/>
      <c r="F232" s="177"/>
      <c r="G232" s="177"/>
      <c r="H232" s="148"/>
      <c r="I232" s="7"/>
      <c r="J232" s="7"/>
      <c r="K232" s="7"/>
      <c r="L232" s="7"/>
      <c r="M232" s="7"/>
      <c r="N232" s="7"/>
      <c r="O232" s="7"/>
      <c r="P232" s="7"/>
      <c r="Q232" s="7"/>
      <c r="R232" s="7"/>
      <c r="S232" s="7"/>
      <c r="T232" s="7"/>
      <c r="U232" s="7"/>
      <c r="V232" s="7"/>
      <c r="W232" s="7"/>
      <c r="X232" s="7"/>
      <c r="Y232" s="7"/>
      <c r="Z232" s="7"/>
      <c r="AA232" s="7"/>
    </row>
    <row r="233">
      <c r="A233" s="242"/>
      <c r="B233" s="242"/>
      <c r="C233" s="177"/>
      <c r="D233" s="177"/>
      <c r="E233" s="177"/>
      <c r="F233" s="177"/>
      <c r="G233" s="177"/>
      <c r="H233" s="148"/>
      <c r="I233" s="7"/>
      <c r="J233" s="7"/>
      <c r="K233" s="7"/>
      <c r="L233" s="7"/>
      <c r="M233" s="7"/>
      <c r="N233" s="7"/>
      <c r="O233" s="7"/>
      <c r="P233" s="7"/>
      <c r="Q233" s="7"/>
      <c r="R233" s="7"/>
      <c r="S233" s="7"/>
      <c r="T233" s="7"/>
      <c r="U233" s="7"/>
      <c r="V233" s="7"/>
      <c r="W233" s="7"/>
      <c r="X233" s="7"/>
      <c r="Y233" s="7"/>
      <c r="Z233" s="7"/>
      <c r="AA233" s="7"/>
    </row>
    <row r="234">
      <c r="A234" s="242"/>
      <c r="B234" s="242"/>
      <c r="C234" s="177"/>
      <c r="D234" s="177"/>
      <c r="E234" s="177"/>
      <c r="F234" s="177"/>
      <c r="G234" s="177"/>
      <c r="H234" s="148"/>
      <c r="I234" s="7"/>
      <c r="J234" s="7"/>
      <c r="K234" s="7"/>
      <c r="L234" s="7"/>
      <c r="M234" s="7"/>
      <c r="N234" s="7"/>
      <c r="O234" s="7"/>
      <c r="P234" s="7"/>
      <c r="Q234" s="7"/>
      <c r="R234" s="7"/>
      <c r="S234" s="7"/>
      <c r="T234" s="7"/>
      <c r="U234" s="7"/>
      <c r="V234" s="7"/>
      <c r="W234" s="7"/>
      <c r="X234" s="7"/>
      <c r="Y234" s="7"/>
      <c r="Z234" s="7"/>
      <c r="AA234" s="7"/>
    </row>
    <row r="235">
      <c r="A235" s="242"/>
      <c r="B235" s="242"/>
      <c r="C235" s="177"/>
      <c r="D235" s="177"/>
      <c r="E235" s="177"/>
      <c r="F235" s="177"/>
      <c r="G235" s="177"/>
      <c r="H235" s="148"/>
      <c r="I235" s="7"/>
      <c r="J235" s="7"/>
      <c r="K235" s="7"/>
      <c r="L235" s="7"/>
      <c r="M235" s="7"/>
      <c r="N235" s="7"/>
      <c r="O235" s="7"/>
      <c r="P235" s="7"/>
      <c r="Q235" s="7"/>
      <c r="R235" s="7"/>
      <c r="S235" s="7"/>
      <c r="T235" s="7"/>
      <c r="U235" s="7"/>
      <c r="V235" s="7"/>
      <c r="W235" s="7"/>
      <c r="X235" s="7"/>
      <c r="Y235" s="7"/>
      <c r="Z235" s="7"/>
      <c r="AA235" s="7"/>
    </row>
    <row r="236">
      <c r="A236" s="242"/>
      <c r="B236" s="242"/>
      <c r="C236" s="177"/>
      <c r="D236" s="177"/>
      <c r="E236" s="177"/>
      <c r="F236" s="177"/>
      <c r="G236" s="177"/>
      <c r="H236" s="148"/>
      <c r="I236" s="7"/>
      <c r="J236" s="7"/>
      <c r="K236" s="7"/>
      <c r="L236" s="7"/>
      <c r="M236" s="7"/>
      <c r="N236" s="7"/>
      <c r="O236" s="7"/>
      <c r="P236" s="7"/>
      <c r="Q236" s="7"/>
      <c r="R236" s="7"/>
      <c r="S236" s="7"/>
      <c r="T236" s="7"/>
      <c r="U236" s="7"/>
      <c r="V236" s="7"/>
      <c r="W236" s="7"/>
      <c r="X236" s="7"/>
      <c r="Y236" s="7"/>
      <c r="Z236" s="7"/>
      <c r="AA236" s="7"/>
    </row>
    <row r="237">
      <c r="A237" s="242"/>
      <c r="B237" s="242"/>
      <c r="C237" s="177"/>
      <c r="D237" s="177"/>
      <c r="E237" s="177"/>
      <c r="F237" s="177"/>
      <c r="G237" s="177"/>
      <c r="H237" s="148"/>
      <c r="I237" s="7"/>
      <c r="J237" s="7"/>
      <c r="K237" s="7"/>
      <c r="L237" s="7"/>
      <c r="M237" s="7"/>
      <c r="N237" s="7"/>
      <c r="O237" s="7"/>
      <c r="P237" s="7"/>
      <c r="Q237" s="7"/>
      <c r="R237" s="7"/>
      <c r="S237" s="7"/>
      <c r="T237" s="7"/>
      <c r="U237" s="7"/>
      <c r="V237" s="7"/>
      <c r="W237" s="7"/>
      <c r="X237" s="7"/>
      <c r="Y237" s="7"/>
      <c r="Z237" s="7"/>
      <c r="AA237" s="7"/>
    </row>
    <row r="238">
      <c r="A238" s="242"/>
      <c r="B238" s="242"/>
      <c r="C238" s="177"/>
      <c r="D238" s="177"/>
      <c r="E238" s="177"/>
      <c r="F238" s="177"/>
      <c r="G238" s="177"/>
      <c r="H238" s="148"/>
      <c r="I238" s="7"/>
      <c r="J238" s="7"/>
      <c r="K238" s="7"/>
      <c r="L238" s="7"/>
      <c r="M238" s="7"/>
      <c r="N238" s="7"/>
      <c r="O238" s="7"/>
      <c r="P238" s="7"/>
      <c r="Q238" s="7"/>
      <c r="R238" s="7"/>
      <c r="S238" s="7"/>
      <c r="T238" s="7"/>
      <c r="U238" s="7"/>
      <c r="V238" s="7"/>
      <c r="W238" s="7"/>
      <c r="X238" s="7"/>
      <c r="Y238" s="7"/>
      <c r="Z238" s="7"/>
      <c r="AA238" s="7"/>
    </row>
    <row r="239">
      <c r="A239" s="242"/>
      <c r="B239" s="242"/>
      <c r="C239" s="177"/>
      <c r="D239" s="177"/>
      <c r="E239" s="177"/>
      <c r="F239" s="177"/>
      <c r="G239" s="177"/>
      <c r="H239" s="148"/>
      <c r="I239" s="7"/>
      <c r="J239" s="7"/>
      <c r="K239" s="7"/>
      <c r="L239" s="7"/>
      <c r="M239" s="7"/>
      <c r="N239" s="7"/>
      <c r="O239" s="7"/>
      <c r="P239" s="7"/>
      <c r="Q239" s="7"/>
      <c r="R239" s="7"/>
      <c r="S239" s="7"/>
      <c r="T239" s="7"/>
      <c r="U239" s="7"/>
      <c r="V239" s="7"/>
      <c r="W239" s="7"/>
      <c r="X239" s="7"/>
      <c r="Y239" s="7"/>
      <c r="Z239" s="7"/>
      <c r="AA239" s="7"/>
    </row>
    <row r="240">
      <c r="A240" s="242"/>
      <c r="B240" s="242"/>
      <c r="C240" s="177"/>
      <c r="D240" s="177"/>
      <c r="E240" s="177"/>
      <c r="F240" s="177"/>
      <c r="G240" s="177"/>
      <c r="H240" s="148"/>
      <c r="I240" s="7"/>
      <c r="J240" s="7"/>
      <c r="K240" s="7"/>
      <c r="L240" s="7"/>
      <c r="M240" s="7"/>
      <c r="N240" s="7"/>
      <c r="O240" s="7"/>
      <c r="P240" s="7"/>
      <c r="Q240" s="7"/>
      <c r="R240" s="7"/>
      <c r="S240" s="7"/>
      <c r="T240" s="7"/>
      <c r="U240" s="7"/>
      <c r="V240" s="7"/>
      <c r="W240" s="7"/>
      <c r="X240" s="7"/>
      <c r="Y240" s="7"/>
      <c r="Z240" s="7"/>
      <c r="AA240" s="7"/>
    </row>
    <row r="241">
      <c r="A241" s="242"/>
      <c r="B241" s="242"/>
      <c r="C241" s="177"/>
      <c r="D241" s="177"/>
      <c r="E241" s="177"/>
      <c r="F241" s="177"/>
      <c r="G241" s="177"/>
      <c r="H241" s="148"/>
      <c r="I241" s="7"/>
      <c r="J241" s="7"/>
      <c r="K241" s="7"/>
      <c r="L241" s="7"/>
      <c r="M241" s="7"/>
      <c r="N241" s="7"/>
      <c r="O241" s="7"/>
      <c r="P241" s="7"/>
      <c r="Q241" s="7"/>
      <c r="R241" s="7"/>
      <c r="S241" s="7"/>
      <c r="T241" s="7"/>
      <c r="U241" s="7"/>
      <c r="V241" s="7"/>
      <c r="W241" s="7"/>
      <c r="X241" s="7"/>
      <c r="Y241" s="7"/>
      <c r="Z241" s="7"/>
      <c r="AA241" s="7"/>
    </row>
    <row r="242">
      <c r="A242" s="242"/>
      <c r="B242" s="242"/>
      <c r="C242" s="177"/>
      <c r="D242" s="177"/>
      <c r="E242" s="177"/>
      <c r="F242" s="177"/>
      <c r="G242" s="177"/>
      <c r="H242" s="148"/>
      <c r="I242" s="7"/>
      <c r="J242" s="7"/>
      <c r="K242" s="7"/>
      <c r="L242" s="7"/>
      <c r="M242" s="7"/>
      <c r="N242" s="7"/>
      <c r="O242" s="7"/>
      <c r="P242" s="7"/>
      <c r="Q242" s="7"/>
      <c r="R242" s="7"/>
      <c r="S242" s="7"/>
      <c r="T242" s="7"/>
      <c r="U242" s="7"/>
      <c r="V242" s="7"/>
      <c r="W242" s="7"/>
      <c r="X242" s="7"/>
      <c r="Y242" s="7"/>
      <c r="Z242" s="7"/>
      <c r="AA242" s="7"/>
    </row>
    <row r="243">
      <c r="A243" s="242"/>
      <c r="B243" s="242"/>
      <c r="C243" s="177"/>
      <c r="D243" s="177"/>
      <c r="E243" s="177"/>
      <c r="F243" s="177"/>
      <c r="G243" s="177"/>
      <c r="H243" s="148"/>
      <c r="I243" s="7"/>
      <c r="J243" s="7"/>
      <c r="K243" s="7"/>
      <c r="L243" s="7"/>
      <c r="M243" s="7"/>
      <c r="N243" s="7"/>
      <c r="O243" s="7"/>
      <c r="P243" s="7"/>
      <c r="Q243" s="7"/>
      <c r="R243" s="7"/>
      <c r="S243" s="7"/>
      <c r="T243" s="7"/>
      <c r="U243" s="7"/>
      <c r="V243" s="7"/>
      <c r="W243" s="7"/>
      <c r="X243" s="7"/>
      <c r="Y243" s="7"/>
      <c r="Z243" s="7"/>
      <c r="AA243" s="7"/>
    </row>
    <row r="244">
      <c r="A244" s="242"/>
      <c r="B244" s="242"/>
      <c r="C244" s="177"/>
      <c r="D244" s="177"/>
      <c r="E244" s="177"/>
      <c r="F244" s="177"/>
      <c r="G244" s="177"/>
      <c r="H244" s="148"/>
      <c r="I244" s="7"/>
      <c r="J244" s="7"/>
      <c r="K244" s="7"/>
      <c r="L244" s="7"/>
      <c r="M244" s="7"/>
      <c r="N244" s="7"/>
      <c r="O244" s="7"/>
      <c r="P244" s="7"/>
      <c r="Q244" s="7"/>
      <c r="R244" s="7"/>
      <c r="S244" s="7"/>
      <c r="T244" s="7"/>
      <c r="U244" s="7"/>
      <c r="V244" s="7"/>
      <c r="W244" s="7"/>
      <c r="X244" s="7"/>
      <c r="Y244" s="7"/>
      <c r="Z244" s="7"/>
      <c r="AA244" s="7"/>
    </row>
    <row r="245">
      <c r="A245" s="242"/>
      <c r="B245" s="242"/>
      <c r="C245" s="177"/>
      <c r="D245" s="177"/>
      <c r="E245" s="177"/>
      <c r="F245" s="177"/>
      <c r="G245" s="177"/>
      <c r="H245" s="148"/>
      <c r="I245" s="7"/>
      <c r="J245" s="7"/>
      <c r="K245" s="7"/>
      <c r="L245" s="7"/>
      <c r="M245" s="7"/>
      <c r="N245" s="7"/>
      <c r="O245" s="7"/>
      <c r="P245" s="7"/>
      <c r="Q245" s="7"/>
      <c r="R245" s="7"/>
      <c r="S245" s="7"/>
      <c r="T245" s="7"/>
      <c r="U245" s="7"/>
      <c r="V245" s="7"/>
      <c r="W245" s="7"/>
      <c r="X245" s="7"/>
      <c r="Y245" s="7"/>
      <c r="Z245" s="7"/>
      <c r="AA245" s="7"/>
    </row>
    <row r="246">
      <c r="A246" s="242"/>
      <c r="B246" s="242"/>
      <c r="C246" s="177"/>
      <c r="D246" s="177"/>
      <c r="E246" s="177"/>
      <c r="F246" s="177"/>
      <c r="G246" s="177"/>
      <c r="H246" s="148"/>
      <c r="I246" s="7"/>
      <c r="J246" s="7"/>
      <c r="K246" s="7"/>
      <c r="L246" s="7"/>
      <c r="M246" s="7"/>
      <c r="N246" s="7"/>
      <c r="O246" s="7"/>
      <c r="P246" s="7"/>
      <c r="Q246" s="7"/>
      <c r="R246" s="7"/>
      <c r="S246" s="7"/>
      <c r="T246" s="7"/>
      <c r="U246" s="7"/>
      <c r="V246" s="7"/>
      <c r="W246" s="7"/>
      <c r="X246" s="7"/>
      <c r="Y246" s="7"/>
      <c r="Z246" s="7"/>
      <c r="AA246" s="7"/>
    </row>
    <row r="247">
      <c r="A247" s="242"/>
      <c r="B247" s="242"/>
      <c r="C247" s="177"/>
      <c r="D247" s="177"/>
      <c r="E247" s="177"/>
      <c r="F247" s="177"/>
      <c r="G247" s="177"/>
      <c r="H247" s="148"/>
      <c r="I247" s="7"/>
      <c r="J247" s="7"/>
      <c r="K247" s="7"/>
      <c r="L247" s="7"/>
      <c r="M247" s="7"/>
      <c r="N247" s="7"/>
      <c r="O247" s="7"/>
      <c r="P247" s="7"/>
      <c r="Q247" s="7"/>
      <c r="R247" s="7"/>
      <c r="S247" s="7"/>
      <c r="T247" s="7"/>
      <c r="U247" s="7"/>
      <c r="V247" s="7"/>
      <c r="W247" s="7"/>
      <c r="X247" s="7"/>
      <c r="Y247" s="7"/>
      <c r="Z247" s="7"/>
      <c r="AA247" s="7"/>
    </row>
    <row r="248">
      <c r="A248" s="242"/>
      <c r="B248" s="242"/>
      <c r="C248" s="177"/>
      <c r="D248" s="177"/>
      <c r="E248" s="177"/>
      <c r="F248" s="177"/>
      <c r="G248" s="177"/>
      <c r="H248" s="148"/>
      <c r="I248" s="7"/>
      <c r="J248" s="7"/>
      <c r="K248" s="7"/>
      <c r="L248" s="7"/>
      <c r="M248" s="7"/>
      <c r="N248" s="7"/>
      <c r="O248" s="7"/>
      <c r="P248" s="7"/>
      <c r="Q248" s="7"/>
      <c r="R248" s="7"/>
      <c r="S248" s="7"/>
      <c r="T248" s="7"/>
      <c r="U248" s="7"/>
      <c r="V248" s="7"/>
      <c r="W248" s="7"/>
      <c r="X248" s="7"/>
      <c r="Y248" s="7"/>
      <c r="Z248" s="7"/>
      <c r="AA248" s="7"/>
    </row>
    <row r="249">
      <c r="A249" s="242"/>
      <c r="B249" s="242"/>
      <c r="C249" s="177"/>
      <c r="D249" s="177"/>
      <c r="E249" s="177"/>
      <c r="F249" s="177"/>
      <c r="G249" s="177"/>
      <c r="H249" s="148"/>
      <c r="I249" s="7"/>
      <c r="J249" s="7"/>
      <c r="K249" s="7"/>
      <c r="L249" s="7"/>
      <c r="M249" s="7"/>
      <c r="N249" s="7"/>
      <c r="O249" s="7"/>
      <c r="P249" s="7"/>
      <c r="Q249" s="7"/>
      <c r="R249" s="7"/>
      <c r="S249" s="7"/>
      <c r="T249" s="7"/>
      <c r="U249" s="7"/>
      <c r="V249" s="7"/>
      <c r="W249" s="7"/>
      <c r="X249" s="7"/>
      <c r="Y249" s="7"/>
      <c r="Z249" s="7"/>
      <c r="AA249" s="7"/>
    </row>
    <row r="250">
      <c r="A250" s="242"/>
      <c r="B250" s="242"/>
      <c r="C250" s="177"/>
      <c r="D250" s="177"/>
      <c r="E250" s="177"/>
      <c r="F250" s="177"/>
      <c r="G250" s="177"/>
      <c r="H250" s="148"/>
      <c r="I250" s="7"/>
      <c r="J250" s="7"/>
      <c r="K250" s="7"/>
      <c r="L250" s="7"/>
      <c r="M250" s="7"/>
      <c r="N250" s="7"/>
      <c r="O250" s="7"/>
      <c r="P250" s="7"/>
      <c r="Q250" s="7"/>
      <c r="R250" s="7"/>
      <c r="S250" s="7"/>
      <c r="T250" s="7"/>
      <c r="U250" s="7"/>
      <c r="V250" s="7"/>
      <c r="W250" s="7"/>
      <c r="X250" s="7"/>
      <c r="Y250" s="7"/>
      <c r="Z250" s="7"/>
      <c r="AA250" s="7"/>
    </row>
    <row r="251">
      <c r="A251" s="242"/>
      <c r="B251" s="242"/>
      <c r="C251" s="177"/>
      <c r="D251" s="177"/>
      <c r="E251" s="177"/>
      <c r="F251" s="177"/>
      <c r="G251" s="177"/>
      <c r="H251" s="148"/>
      <c r="I251" s="7"/>
      <c r="J251" s="7"/>
      <c r="K251" s="7"/>
      <c r="L251" s="7"/>
      <c r="M251" s="7"/>
      <c r="N251" s="7"/>
      <c r="O251" s="7"/>
      <c r="P251" s="7"/>
      <c r="Q251" s="7"/>
      <c r="R251" s="7"/>
      <c r="S251" s="7"/>
      <c r="T251" s="7"/>
      <c r="U251" s="7"/>
      <c r="V251" s="7"/>
      <c r="W251" s="7"/>
      <c r="X251" s="7"/>
      <c r="Y251" s="7"/>
      <c r="Z251" s="7"/>
      <c r="AA251" s="7"/>
    </row>
    <row r="252">
      <c r="A252" s="242"/>
      <c r="B252" s="242"/>
      <c r="C252" s="177"/>
      <c r="D252" s="177"/>
      <c r="E252" s="177"/>
      <c r="F252" s="177"/>
      <c r="G252" s="177"/>
      <c r="H252" s="148"/>
      <c r="I252" s="7"/>
      <c r="J252" s="7"/>
      <c r="K252" s="7"/>
      <c r="L252" s="7"/>
      <c r="M252" s="7"/>
      <c r="N252" s="7"/>
      <c r="O252" s="7"/>
      <c r="P252" s="7"/>
      <c r="Q252" s="7"/>
      <c r="R252" s="7"/>
      <c r="S252" s="7"/>
      <c r="T252" s="7"/>
      <c r="U252" s="7"/>
      <c r="V252" s="7"/>
      <c r="W252" s="7"/>
      <c r="X252" s="7"/>
      <c r="Y252" s="7"/>
      <c r="Z252" s="7"/>
      <c r="AA252" s="7"/>
    </row>
    <row r="253">
      <c r="A253" s="242"/>
      <c r="B253" s="242"/>
      <c r="C253" s="177"/>
      <c r="D253" s="177"/>
      <c r="E253" s="177"/>
      <c r="F253" s="177"/>
      <c r="G253" s="177"/>
      <c r="H253" s="148"/>
      <c r="I253" s="7"/>
      <c r="J253" s="7"/>
      <c r="K253" s="7"/>
      <c r="L253" s="7"/>
      <c r="M253" s="7"/>
      <c r="N253" s="7"/>
      <c r="O253" s="7"/>
      <c r="P253" s="7"/>
      <c r="Q253" s="7"/>
      <c r="R253" s="7"/>
      <c r="S253" s="7"/>
      <c r="T253" s="7"/>
      <c r="U253" s="7"/>
      <c r="V253" s="7"/>
      <c r="W253" s="7"/>
      <c r="X253" s="7"/>
      <c r="Y253" s="7"/>
      <c r="Z253" s="7"/>
      <c r="AA253" s="7"/>
    </row>
    <row r="254">
      <c r="A254" s="242"/>
      <c r="B254" s="242"/>
      <c r="C254" s="177"/>
      <c r="D254" s="177"/>
      <c r="E254" s="177"/>
      <c r="F254" s="177"/>
      <c r="G254" s="177"/>
      <c r="H254" s="148"/>
      <c r="I254" s="7"/>
      <c r="J254" s="7"/>
      <c r="K254" s="7"/>
      <c r="L254" s="7"/>
      <c r="M254" s="7"/>
      <c r="N254" s="7"/>
      <c r="O254" s="7"/>
      <c r="P254" s="7"/>
      <c r="Q254" s="7"/>
      <c r="R254" s="7"/>
      <c r="S254" s="7"/>
      <c r="T254" s="7"/>
      <c r="U254" s="7"/>
      <c r="V254" s="7"/>
      <c r="W254" s="7"/>
      <c r="X254" s="7"/>
      <c r="Y254" s="7"/>
      <c r="Z254" s="7"/>
      <c r="AA254" s="7"/>
    </row>
    <row r="255">
      <c r="A255" s="242"/>
      <c r="B255" s="242"/>
      <c r="C255" s="177"/>
      <c r="D255" s="177"/>
      <c r="E255" s="177"/>
      <c r="F255" s="177"/>
      <c r="G255" s="177"/>
      <c r="H255" s="148"/>
      <c r="I255" s="7"/>
      <c r="J255" s="7"/>
      <c r="K255" s="7"/>
      <c r="L255" s="7"/>
      <c r="M255" s="7"/>
      <c r="N255" s="7"/>
      <c r="O255" s="7"/>
      <c r="P255" s="7"/>
      <c r="Q255" s="7"/>
      <c r="R255" s="7"/>
      <c r="S255" s="7"/>
      <c r="T255" s="7"/>
      <c r="U255" s="7"/>
      <c r="V255" s="7"/>
      <c r="W255" s="7"/>
      <c r="X255" s="7"/>
      <c r="Y255" s="7"/>
      <c r="Z255" s="7"/>
      <c r="AA255" s="7"/>
    </row>
    <row r="256">
      <c r="A256" s="242"/>
      <c r="B256" s="242"/>
      <c r="C256" s="177"/>
      <c r="D256" s="177"/>
      <c r="E256" s="177"/>
      <c r="F256" s="177"/>
      <c r="G256" s="177"/>
      <c r="H256" s="148"/>
      <c r="I256" s="7"/>
      <c r="J256" s="7"/>
      <c r="K256" s="7"/>
      <c r="L256" s="7"/>
      <c r="M256" s="7"/>
      <c r="N256" s="7"/>
      <c r="O256" s="7"/>
      <c r="P256" s="7"/>
      <c r="Q256" s="7"/>
      <c r="R256" s="7"/>
      <c r="S256" s="7"/>
      <c r="T256" s="7"/>
      <c r="U256" s="7"/>
      <c r="V256" s="7"/>
      <c r="W256" s="7"/>
      <c r="X256" s="7"/>
      <c r="Y256" s="7"/>
      <c r="Z256" s="7"/>
      <c r="AA256" s="7"/>
    </row>
    <row r="257">
      <c r="A257" s="242"/>
      <c r="B257" s="242"/>
      <c r="C257" s="177"/>
      <c r="D257" s="177"/>
      <c r="E257" s="177"/>
      <c r="F257" s="177"/>
      <c r="G257" s="177"/>
      <c r="H257" s="148"/>
      <c r="I257" s="7"/>
      <c r="J257" s="7"/>
      <c r="K257" s="7"/>
      <c r="L257" s="7"/>
      <c r="M257" s="7"/>
      <c r="N257" s="7"/>
      <c r="O257" s="7"/>
      <c r="P257" s="7"/>
      <c r="Q257" s="7"/>
      <c r="R257" s="7"/>
      <c r="S257" s="7"/>
      <c r="T257" s="7"/>
      <c r="U257" s="7"/>
      <c r="V257" s="7"/>
      <c r="W257" s="7"/>
      <c r="X257" s="7"/>
      <c r="Y257" s="7"/>
      <c r="Z257" s="7"/>
      <c r="AA257" s="7"/>
    </row>
    <row r="258">
      <c r="A258" s="242"/>
      <c r="B258" s="242"/>
      <c r="C258" s="177"/>
      <c r="D258" s="177"/>
      <c r="E258" s="177"/>
      <c r="F258" s="177"/>
      <c r="G258" s="177"/>
      <c r="H258" s="148"/>
      <c r="I258" s="7"/>
      <c r="J258" s="7"/>
      <c r="K258" s="7"/>
      <c r="L258" s="7"/>
      <c r="M258" s="7"/>
      <c r="N258" s="7"/>
      <c r="O258" s="7"/>
      <c r="P258" s="7"/>
      <c r="Q258" s="7"/>
      <c r="R258" s="7"/>
      <c r="S258" s="7"/>
      <c r="T258" s="7"/>
      <c r="U258" s="7"/>
      <c r="V258" s="7"/>
      <c r="W258" s="7"/>
      <c r="X258" s="7"/>
      <c r="Y258" s="7"/>
      <c r="Z258" s="7"/>
      <c r="AA258" s="7"/>
    </row>
    <row r="259">
      <c r="A259" s="242"/>
      <c r="B259" s="242"/>
      <c r="C259" s="177"/>
      <c r="D259" s="177"/>
      <c r="E259" s="177"/>
      <c r="F259" s="177"/>
      <c r="G259" s="177"/>
      <c r="H259" s="148"/>
      <c r="I259" s="7"/>
      <c r="J259" s="7"/>
      <c r="K259" s="7"/>
      <c r="L259" s="7"/>
      <c r="M259" s="7"/>
      <c r="N259" s="7"/>
      <c r="O259" s="7"/>
      <c r="P259" s="7"/>
      <c r="Q259" s="7"/>
      <c r="R259" s="7"/>
      <c r="S259" s="7"/>
      <c r="T259" s="7"/>
      <c r="U259" s="7"/>
      <c r="V259" s="7"/>
      <c r="W259" s="7"/>
      <c r="X259" s="7"/>
      <c r="Y259" s="7"/>
      <c r="Z259" s="7"/>
      <c r="AA259" s="7"/>
    </row>
    <row r="260">
      <c r="A260" s="242"/>
      <c r="B260" s="242"/>
      <c r="C260" s="177"/>
      <c r="D260" s="177"/>
      <c r="E260" s="177"/>
      <c r="F260" s="177"/>
      <c r="G260" s="177"/>
      <c r="H260" s="148"/>
      <c r="I260" s="7"/>
      <c r="J260" s="7"/>
      <c r="K260" s="7"/>
      <c r="L260" s="7"/>
      <c r="M260" s="7"/>
      <c r="N260" s="7"/>
      <c r="O260" s="7"/>
      <c r="P260" s="7"/>
      <c r="Q260" s="7"/>
      <c r="R260" s="7"/>
      <c r="S260" s="7"/>
      <c r="T260" s="7"/>
      <c r="U260" s="7"/>
      <c r="V260" s="7"/>
      <c r="W260" s="7"/>
      <c r="X260" s="7"/>
      <c r="Y260" s="7"/>
      <c r="Z260" s="7"/>
      <c r="AA260" s="7"/>
    </row>
    <row r="261">
      <c r="A261" s="242"/>
      <c r="B261" s="242"/>
      <c r="C261" s="177"/>
      <c r="D261" s="177"/>
      <c r="E261" s="177"/>
      <c r="F261" s="177"/>
      <c r="G261" s="177"/>
      <c r="H261" s="148"/>
      <c r="I261" s="7"/>
      <c r="J261" s="7"/>
      <c r="K261" s="7"/>
      <c r="L261" s="7"/>
      <c r="M261" s="7"/>
      <c r="N261" s="7"/>
      <c r="O261" s="7"/>
      <c r="P261" s="7"/>
      <c r="Q261" s="7"/>
      <c r="R261" s="7"/>
      <c r="S261" s="7"/>
      <c r="T261" s="7"/>
      <c r="U261" s="7"/>
      <c r="V261" s="7"/>
      <c r="W261" s="7"/>
      <c r="X261" s="7"/>
      <c r="Y261" s="7"/>
      <c r="Z261" s="7"/>
      <c r="AA261" s="7"/>
    </row>
    <row r="262">
      <c r="A262" s="242"/>
      <c r="B262" s="242"/>
      <c r="C262" s="177"/>
      <c r="D262" s="177"/>
      <c r="E262" s="177"/>
      <c r="F262" s="177"/>
      <c r="G262" s="177"/>
      <c r="H262" s="148"/>
      <c r="I262" s="7"/>
      <c r="J262" s="7"/>
      <c r="K262" s="7"/>
      <c r="L262" s="7"/>
      <c r="M262" s="7"/>
      <c r="N262" s="7"/>
      <c r="O262" s="7"/>
      <c r="P262" s="7"/>
      <c r="Q262" s="7"/>
      <c r="R262" s="7"/>
      <c r="S262" s="7"/>
      <c r="T262" s="7"/>
      <c r="U262" s="7"/>
      <c r="V262" s="7"/>
      <c r="W262" s="7"/>
      <c r="X262" s="7"/>
      <c r="Y262" s="7"/>
      <c r="Z262" s="7"/>
      <c r="AA262" s="7"/>
    </row>
    <row r="263">
      <c r="A263" s="242"/>
      <c r="B263" s="242"/>
      <c r="C263" s="177"/>
      <c r="D263" s="177"/>
      <c r="E263" s="177"/>
      <c r="F263" s="177"/>
      <c r="G263" s="177"/>
      <c r="H263" s="148"/>
      <c r="I263" s="7"/>
      <c r="J263" s="7"/>
      <c r="K263" s="7"/>
      <c r="L263" s="7"/>
      <c r="M263" s="7"/>
      <c r="N263" s="7"/>
      <c r="O263" s="7"/>
      <c r="P263" s="7"/>
      <c r="Q263" s="7"/>
      <c r="R263" s="7"/>
      <c r="S263" s="7"/>
      <c r="T263" s="7"/>
      <c r="U263" s="7"/>
      <c r="V263" s="7"/>
      <c r="W263" s="7"/>
      <c r="X263" s="7"/>
      <c r="Y263" s="7"/>
      <c r="Z263" s="7"/>
      <c r="AA263" s="7"/>
    </row>
    <row r="264">
      <c r="A264" s="242"/>
      <c r="B264" s="242"/>
      <c r="C264" s="177"/>
      <c r="D264" s="177"/>
      <c r="E264" s="177"/>
      <c r="F264" s="177"/>
      <c r="G264" s="177"/>
      <c r="H264" s="148"/>
      <c r="I264" s="7"/>
      <c r="J264" s="7"/>
      <c r="K264" s="7"/>
      <c r="L264" s="7"/>
      <c r="M264" s="7"/>
      <c r="N264" s="7"/>
      <c r="O264" s="7"/>
      <c r="P264" s="7"/>
      <c r="Q264" s="7"/>
      <c r="R264" s="7"/>
      <c r="S264" s="7"/>
      <c r="T264" s="7"/>
      <c r="U264" s="7"/>
      <c r="V264" s="7"/>
      <c r="W264" s="7"/>
      <c r="X264" s="7"/>
      <c r="Y264" s="7"/>
      <c r="Z264" s="7"/>
      <c r="AA264" s="7"/>
    </row>
    <row r="265">
      <c r="A265" s="242"/>
      <c r="B265" s="242"/>
      <c r="C265" s="177"/>
      <c r="D265" s="177"/>
      <c r="E265" s="177"/>
      <c r="F265" s="177"/>
      <c r="G265" s="177"/>
      <c r="H265" s="148"/>
      <c r="I265" s="7"/>
      <c r="J265" s="7"/>
      <c r="K265" s="7"/>
      <c r="L265" s="7"/>
      <c r="M265" s="7"/>
      <c r="N265" s="7"/>
      <c r="O265" s="7"/>
      <c r="P265" s="7"/>
      <c r="Q265" s="7"/>
      <c r="R265" s="7"/>
      <c r="S265" s="7"/>
      <c r="T265" s="7"/>
      <c r="U265" s="7"/>
      <c r="V265" s="7"/>
      <c r="W265" s="7"/>
      <c r="X265" s="7"/>
      <c r="Y265" s="7"/>
      <c r="Z265" s="7"/>
      <c r="AA265" s="7"/>
    </row>
    <row r="266">
      <c r="A266" s="242"/>
      <c r="B266" s="242"/>
      <c r="C266" s="177"/>
      <c r="D266" s="177"/>
      <c r="E266" s="177"/>
      <c r="F266" s="177"/>
      <c r="G266" s="177"/>
      <c r="H266" s="148"/>
      <c r="I266" s="7"/>
      <c r="J266" s="7"/>
      <c r="K266" s="7"/>
      <c r="L266" s="7"/>
      <c r="M266" s="7"/>
      <c r="N266" s="7"/>
      <c r="O266" s="7"/>
      <c r="P266" s="7"/>
      <c r="Q266" s="7"/>
      <c r="R266" s="7"/>
      <c r="S266" s="7"/>
      <c r="T266" s="7"/>
      <c r="U266" s="7"/>
      <c r="V266" s="7"/>
      <c r="W266" s="7"/>
      <c r="X266" s="7"/>
      <c r="Y266" s="7"/>
      <c r="Z266" s="7"/>
      <c r="AA266" s="7"/>
    </row>
    <row r="267">
      <c r="A267" s="242"/>
      <c r="B267" s="242"/>
      <c r="C267" s="177"/>
      <c r="D267" s="177"/>
      <c r="E267" s="177"/>
      <c r="F267" s="177"/>
      <c r="G267" s="177"/>
      <c r="H267" s="148"/>
      <c r="I267" s="7"/>
      <c r="J267" s="7"/>
      <c r="K267" s="7"/>
      <c r="L267" s="7"/>
      <c r="M267" s="7"/>
      <c r="N267" s="7"/>
      <c r="O267" s="7"/>
      <c r="P267" s="7"/>
      <c r="Q267" s="7"/>
      <c r="R267" s="7"/>
      <c r="S267" s="7"/>
      <c r="T267" s="7"/>
      <c r="U267" s="7"/>
      <c r="V267" s="7"/>
      <c r="W267" s="7"/>
      <c r="X267" s="7"/>
      <c r="Y267" s="7"/>
      <c r="Z267" s="7"/>
      <c r="AA267" s="7"/>
    </row>
    <row r="268">
      <c r="A268" s="242"/>
      <c r="B268" s="242"/>
      <c r="C268" s="177"/>
      <c r="D268" s="177"/>
      <c r="E268" s="177"/>
      <c r="F268" s="177"/>
      <c r="G268" s="177"/>
      <c r="H268" s="148"/>
      <c r="I268" s="7"/>
      <c r="J268" s="7"/>
      <c r="K268" s="7"/>
      <c r="L268" s="7"/>
      <c r="M268" s="7"/>
      <c r="N268" s="7"/>
      <c r="O268" s="7"/>
      <c r="P268" s="7"/>
      <c r="Q268" s="7"/>
      <c r="R268" s="7"/>
      <c r="S268" s="7"/>
      <c r="T268" s="7"/>
      <c r="U268" s="7"/>
      <c r="V268" s="7"/>
      <c r="W268" s="7"/>
      <c r="X268" s="7"/>
      <c r="Y268" s="7"/>
      <c r="Z268" s="7"/>
      <c r="AA268" s="7"/>
    </row>
    <row r="269">
      <c r="A269" s="242"/>
      <c r="B269" s="242"/>
      <c r="C269" s="177"/>
      <c r="D269" s="177"/>
      <c r="E269" s="177"/>
      <c r="F269" s="177"/>
      <c r="G269" s="177"/>
      <c r="H269" s="148"/>
      <c r="I269" s="7"/>
      <c r="J269" s="7"/>
      <c r="K269" s="7"/>
      <c r="L269" s="7"/>
      <c r="M269" s="7"/>
      <c r="N269" s="7"/>
      <c r="O269" s="7"/>
      <c r="P269" s="7"/>
      <c r="Q269" s="7"/>
      <c r="R269" s="7"/>
      <c r="S269" s="7"/>
      <c r="T269" s="7"/>
      <c r="U269" s="7"/>
      <c r="V269" s="7"/>
      <c r="W269" s="7"/>
      <c r="X269" s="7"/>
      <c r="Y269" s="7"/>
      <c r="Z269" s="7"/>
      <c r="AA269" s="7"/>
    </row>
    <row r="270">
      <c r="A270" s="242"/>
      <c r="B270" s="242"/>
      <c r="C270" s="177"/>
      <c r="D270" s="177"/>
      <c r="E270" s="177"/>
      <c r="F270" s="177"/>
      <c r="G270" s="177"/>
      <c r="H270" s="148"/>
      <c r="I270" s="7"/>
      <c r="J270" s="7"/>
      <c r="K270" s="7"/>
      <c r="L270" s="7"/>
      <c r="M270" s="7"/>
      <c r="N270" s="7"/>
      <c r="O270" s="7"/>
      <c r="P270" s="7"/>
      <c r="Q270" s="7"/>
      <c r="R270" s="7"/>
      <c r="S270" s="7"/>
      <c r="T270" s="7"/>
      <c r="U270" s="7"/>
      <c r="V270" s="7"/>
      <c r="W270" s="7"/>
      <c r="X270" s="7"/>
      <c r="Y270" s="7"/>
      <c r="Z270" s="7"/>
      <c r="AA270" s="7"/>
    </row>
    <row r="271">
      <c r="A271" s="242"/>
      <c r="B271" s="242"/>
      <c r="C271" s="177"/>
      <c r="D271" s="177"/>
      <c r="E271" s="177"/>
      <c r="F271" s="177"/>
      <c r="G271" s="177"/>
      <c r="H271" s="148"/>
      <c r="I271" s="7"/>
      <c r="J271" s="7"/>
      <c r="K271" s="7"/>
      <c r="L271" s="7"/>
      <c r="M271" s="7"/>
      <c r="N271" s="7"/>
      <c r="O271" s="7"/>
      <c r="P271" s="7"/>
      <c r="Q271" s="7"/>
      <c r="R271" s="7"/>
      <c r="S271" s="7"/>
      <c r="T271" s="7"/>
      <c r="U271" s="7"/>
      <c r="V271" s="7"/>
      <c r="W271" s="7"/>
      <c r="X271" s="7"/>
      <c r="Y271" s="7"/>
      <c r="Z271" s="7"/>
      <c r="AA271" s="7"/>
    </row>
    <row r="272">
      <c r="A272" s="242"/>
      <c r="B272" s="242"/>
      <c r="C272" s="177"/>
      <c r="D272" s="177"/>
      <c r="E272" s="177"/>
      <c r="F272" s="177"/>
      <c r="G272" s="177"/>
      <c r="H272" s="148"/>
      <c r="I272" s="7"/>
      <c r="J272" s="7"/>
      <c r="K272" s="7"/>
      <c r="L272" s="7"/>
      <c r="M272" s="7"/>
      <c r="N272" s="7"/>
      <c r="O272" s="7"/>
      <c r="P272" s="7"/>
      <c r="Q272" s="7"/>
      <c r="R272" s="7"/>
      <c r="S272" s="7"/>
      <c r="T272" s="7"/>
      <c r="U272" s="7"/>
      <c r="V272" s="7"/>
      <c r="W272" s="7"/>
      <c r="X272" s="7"/>
      <c r="Y272" s="7"/>
      <c r="Z272" s="7"/>
      <c r="AA272" s="7"/>
    </row>
    <row r="273">
      <c r="A273" s="242"/>
      <c r="B273" s="242"/>
      <c r="C273" s="177"/>
      <c r="D273" s="177"/>
      <c r="E273" s="177"/>
      <c r="F273" s="177"/>
      <c r="G273" s="177"/>
      <c r="H273" s="148"/>
      <c r="I273" s="7"/>
      <c r="J273" s="7"/>
      <c r="K273" s="7"/>
      <c r="L273" s="7"/>
      <c r="M273" s="7"/>
      <c r="N273" s="7"/>
      <c r="O273" s="7"/>
      <c r="P273" s="7"/>
      <c r="Q273" s="7"/>
      <c r="R273" s="7"/>
      <c r="S273" s="7"/>
      <c r="T273" s="7"/>
      <c r="U273" s="7"/>
      <c r="V273" s="7"/>
      <c r="W273" s="7"/>
      <c r="X273" s="7"/>
      <c r="Y273" s="7"/>
      <c r="Z273" s="7"/>
      <c r="AA273" s="7"/>
    </row>
    <row r="274">
      <c r="A274" s="242"/>
      <c r="B274" s="242"/>
      <c r="C274" s="177"/>
      <c r="D274" s="177"/>
      <c r="E274" s="177"/>
      <c r="F274" s="177"/>
      <c r="G274" s="177"/>
      <c r="H274" s="148"/>
      <c r="I274" s="7"/>
      <c r="J274" s="7"/>
      <c r="K274" s="7"/>
      <c r="L274" s="7"/>
      <c r="M274" s="7"/>
      <c r="N274" s="7"/>
      <c r="O274" s="7"/>
      <c r="P274" s="7"/>
      <c r="Q274" s="7"/>
      <c r="R274" s="7"/>
      <c r="S274" s="7"/>
      <c r="T274" s="7"/>
      <c r="U274" s="7"/>
      <c r="V274" s="7"/>
      <c r="W274" s="7"/>
      <c r="X274" s="7"/>
      <c r="Y274" s="7"/>
      <c r="Z274" s="7"/>
      <c r="AA274" s="7"/>
    </row>
    <row r="275">
      <c r="A275" s="242"/>
      <c r="B275" s="242"/>
      <c r="C275" s="177"/>
      <c r="D275" s="177"/>
      <c r="E275" s="177"/>
      <c r="F275" s="177"/>
      <c r="G275" s="177"/>
      <c r="H275" s="148"/>
      <c r="I275" s="7"/>
      <c r="J275" s="7"/>
      <c r="K275" s="7"/>
      <c r="L275" s="7"/>
      <c r="M275" s="7"/>
      <c r="N275" s="7"/>
      <c r="O275" s="7"/>
      <c r="P275" s="7"/>
      <c r="Q275" s="7"/>
      <c r="R275" s="7"/>
      <c r="S275" s="7"/>
      <c r="T275" s="7"/>
      <c r="U275" s="7"/>
      <c r="V275" s="7"/>
      <c r="W275" s="7"/>
      <c r="X275" s="7"/>
      <c r="Y275" s="7"/>
      <c r="Z275" s="7"/>
      <c r="AA275" s="7"/>
    </row>
    <row r="276">
      <c r="A276" s="242"/>
      <c r="B276" s="242"/>
      <c r="C276" s="177"/>
      <c r="D276" s="177"/>
      <c r="E276" s="177"/>
      <c r="F276" s="177"/>
      <c r="G276" s="177"/>
      <c r="H276" s="148"/>
      <c r="I276" s="7"/>
      <c r="J276" s="7"/>
      <c r="K276" s="7"/>
      <c r="L276" s="7"/>
      <c r="M276" s="7"/>
      <c r="N276" s="7"/>
      <c r="O276" s="7"/>
      <c r="P276" s="7"/>
      <c r="Q276" s="7"/>
      <c r="R276" s="7"/>
      <c r="S276" s="7"/>
      <c r="T276" s="7"/>
      <c r="U276" s="7"/>
      <c r="V276" s="7"/>
      <c r="W276" s="7"/>
      <c r="X276" s="7"/>
      <c r="Y276" s="7"/>
      <c r="Z276" s="7"/>
      <c r="AA276" s="7"/>
    </row>
    <row r="277">
      <c r="A277" s="242"/>
      <c r="B277" s="242"/>
      <c r="C277" s="177"/>
      <c r="D277" s="177"/>
      <c r="E277" s="177"/>
      <c r="F277" s="177"/>
      <c r="G277" s="177"/>
      <c r="H277" s="148"/>
      <c r="I277" s="7"/>
      <c r="J277" s="7"/>
      <c r="K277" s="7"/>
      <c r="L277" s="7"/>
      <c r="M277" s="7"/>
      <c r="N277" s="7"/>
      <c r="O277" s="7"/>
      <c r="P277" s="7"/>
      <c r="Q277" s="7"/>
      <c r="R277" s="7"/>
      <c r="S277" s="7"/>
      <c r="T277" s="7"/>
      <c r="U277" s="7"/>
      <c r="V277" s="7"/>
      <c r="W277" s="7"/>
      <c r="X277" s="7"/>
      <c r="Y277" s="7"/>
      <c r="Z277" s="7"/>
      <c r="AA277" s="7"/>
    </row>
    <row r="278">
      <c r="A278" s="242"/>
      <c r="B278" s="242"/>
      <c r="C278" s="177"/>
      <c r="D278" s="177"/>
      <c r="E278" s="177"/>
      <c r="F278" s="177"/>
      <c r="G278" s="177"/>
      <c r="H278" s="148"/>
      <c r="I278" s="7"/>
      <c r="J278" s="7"/>
      <c r="K278" s="7"/>
      <c r="L278" s="7"/>
      <c r="M278" s="7"/>
      <c r="N278" s="7"/>
      <c r="O278" s="7"/>
      <c r="P278" s="7"/>
      <c r="Q278" s="7"/>
      <c r="R278" s="7"/>
      <c r="S278" s="7"/>
      <c r="T278" s="7"/>
      <c r="U278" s="7"/>
      <c r="V278" s="7"/>
      <c r="W278" s="7"/>
      <c r="X278" s="7"/>
      <c r="Y278" s="7"/>
      <c r="Z278" s="7"/>
      <c r="AA278" s="7"/>
    </row>
    <row r="279">
      <c r="A279" s="242"/>
      <c r="B279" s="242"/>
      <c r="C279" s="177"/>
      <c r="D279" s="177"/>
      <c r="E279" s="177"/>
      <c r="F279" s="177"/>
      <c r="G279" s="177"/>
      <c r="H279" s="148"/>
      <c r="I279" s="7"/>
      <c r="J279" s="7"/>
      <c r="K279" s="7"/>
      <c r="L279" s="7"/>
      <c r="M279" s="7"/>
      <c r="N279" s="7"/>
      <c r="O279" s="7"/>
      <c r="P279" s="7"/>
      <c r="Q279" s="7"/>
      <c r="R279" s="7"/>
      <c r="S279" s="7"/>
      <c r="T279" s="7"/>
      <c r="U279" s="7"/>
      <c r="V279" s="7"/>
      <c r="W279" s="7"/>
      <c r="X279" s="7"/>
      <c r="Y279" s="7"/>
      <c r="Z279" s="7"/>
      <c r="AA279" s="7"/>
    </row>
    <row r="280">
      <c r="A280" s="242"/>
      <c r="B280" s="242"/>
      <c r="C280" s="177"/>
      <c r="D280" s="177"/>
      <c r="E280" s="177"/>
      <c r="F280" s="177"/>
      <c r="G280" s="177"/>
      <c r="H280" s="148"/>
      <c r="I280" s="7"/>
      <c r="J280" s="7"/>
      <c r="K280" s="7"/>
      <c r="L280" s="7"/>
      <c r="M280" s="7"/>
      <c r="N280" s="7"/>
      <c r="O280" s="7"/>
      <c r="P280" s="7"/>
      <c r="Q280" s="7"/>
      <c r="R280" s="7"/>
      <c r="S280" s="7"/>
      <c r="T280" s="7"/>
      <c r="U280" s="7"/>
      <c r="V280" s="7"/>
      <c r="W280" s="7"/>
      <c r="X280" s="7"/>
      <c r="Y280" s="7"/>
      <c r="Z280" s="7"/>
      <c r="AA280" s="7"/>
    </row>
    <row r="281">
      <c r="A281" s="242"/>
      <c r="B281" s="242"/>
      <c r="C281" s="177"/>
      <c r="D281" s="177"/>
      <c r="E281" s="177"/>
      <c r="F281" s="177"/>
      <c r="G281" s="177"/>
      <c r="H281" s="148"/>
      <c r="I281" s="7"/>
      <c r="J281" s="7"/>
      <c r="K281" s="7"/>
      <c r="L281" s="7"/>
      <c r="M281" s="7"/>
      <c r="N281" s="7"/>
      <c r="O281" s="7"/>
      <c r="P281" s="7"/>
      <c r="Q281" s="7"/>
      <c r="R281" s="7"/>
      <c r="S281" s="7"/>
      <c r="T281" s="7"/>
      <c r="U281" s="7"/>
      <c r="V281" s="7"/>
      <c r="W281" s="7"/>
      <c r="X281" s="7"/>
      <c r="Y281" s="7"/>
      <c r="Z281" s="7"/>
      <c r="AA281" s="7"/>
    </row>
    <row r="282">
      <c r="A282" s="242"/>
      <c r="B282" s="242"/>
      <c r="C282" s="177"/>
      <c r="D282" s="177"/>
      <c r="E282" s="177"/>
      <c r="F282" s="177"/>
      <c r="G282" s="177"/>
      <c r="H282" s="148"/>
      <c r="I282" s="7"/>
      <c r="J282" s="7"/>
      <c r="K282" s="7"/>
      <c r="L282" s="7"/>
      <c r="M282" s="7"/>
      <c r="N282" s="7"/>
      <c r="O282" s="7"/>
      <c r="P282" s="7"/>
      <c r="Q282" s="7"/>
      <c r="R282" s="7"/>
      <c r="S282" s="7"/>
      <c r="T282" s="7"/>
      <c r="U282" s="7"/>
      <c r="V282" s="7"/>
      <c r="W282" s="7"/>
      <c r="X282" s="7"/>
      <c r="Y282" s="7"/>
      <c r="Z282" s="7"/>
      <c r="AA282" s="7"/>
    </row>
    <row r="283">
      <c r="A283" s="242"/>
      <c r="B283" s="242"/>
      <c r="C283" s="177"/>
      <c r="D283" s="177"/>
      <c r="E283" s="177"/>
      <c r="F283" s="177"/>
      <c r="G283" s="177"/>
      <c r="H283" s="148"/>
      <c r="I283" s="7"/>
      <c r="J283" s="7"/>
      <c r="K283" s="7"/>
      <c r="L283" s="7"/>
      <c r="M283" s="7"/>
      <c r="N283" s="7"/>
      <c r="O283" s="7"/>
      <c r="P283" s="7"/>
      <c r="Q283" s="7"/>
      <c r="R283" s="7"/>
      <c r="S283" s="7"/>
      <c r="T283" s="7"/>
      <c r="U283" s="7"/>
      <c r="V283" s="7"/>
      <c r="W283" s="7"/>
      <c r="X283" s="7"/>
      <c r="Y283" s="7"/>
      <c r="Z283" s="7"/>
      <c r="AA283" s="7"/>
    </row>
    <row r="284">
      <c r="A284" s="242"/>
      <c r="B284" s="242"/>
      <c r="C284" s="177"/>
      <c r="D284" s="177"/>
      <c r="E284" s="177"/>
      <c r="F284" s="177"/>
      <c r="G284" s="177"/>
      <c r="H284" s="148"/>
      <c r="I284" s="7"/>
      <c r="J284" s="7"/>
      <c r="K284" s="7"/>
      <c r="L284" s="7"/>
      <c r="M284" s="7"/>
      <c r="N284" s="7"/>
      <c r="O284" s="7"/>
      <c r="P284" s="7"/>
      <c r="Q284" s="7"/>
      <c r="R284" s="7"/>
      <c r="S284" s="7"/>
      <c r="T284" s="7"/>
      <c r="U284" s="7"/>
      <c r="V284" s="7"/>
      <c r="W284" s="7"/>
      <c r="X284" s="7"/>
      <c r="Y284" s="7"/>
      <c r="Z284" s="7"/>
      <c r="AA284" s="7"/>
    </row>
    <row r="285">
      <c r="A285" s="242"/>
      <c r="B285" s="242"/>
      <c r="C285" s="177"/>
      <c r="D285" s="177"/>
      <c r="E285" s="177"/>
      <c r="F285" s="177"/>
      <c r="G285" s="177"/>
      <c r="H285" s="148"/>
      <c r="I285" s="7"/>
      <c r="J285" s="7"/>
      <c r="K285" s="7"/>
      <c r="L285" s="7"/>
      <c r="M285" s="7"/>
      <c r="N285" s="7"/>
      <c r="O285" s="7"/>
      <c r="P285" s="7"/>
      <c r="Q285" s="7"/>
      <c r="R285" s="7"/>
      <c r="S285" s="7"/>
      <c r="T285" s="7"/>
      <c r="U285" s="7"/>
      <c r="V285" s="7"/>
      <c r="W285" s="7"/>
      <c r="X285" s="7"/>
      <c r="Y285" s="7"/>
      <c r="Z285" s="7"/>
      <c r="AA285" s="7"/>
    </row>
    <row r="286">
      <c r="A286" s="242"/>
      <c r="B286" s="242"/>
      <c r="C286" s="177"/>
      <c r="D286" s="177"/>
      <c r="E286" s="177"/>
      <c r="F286" s="177"/>
      <c r="G286" s="177"/>
      <c r="H286" s="148"/>
      <c r="I286" s="7"/>
      <c r="J286" s="7"/>
      <c r="K286" s="7"/>
      <c r="L286" s="7"/>
      <c r="M286" s="7"/>
      <c r="N286" s="7"/>
      <c r="O286" s="7"/>
      <c r="P286" s="7"/>
      <c r="Q286" s="7"/>
      <c r="R286" s="7"/>
      <c r="S286" s="7"/>
      <c r="T286" s="7"/>
      <c r="U286" s="7"/>
      <c r="V286" s="7"/>
      <c r="W286" s="7"/>
      <c r="X286" s="7"/>
      <c r="Y286" s="7"/>
      <c r="Z286" s="7"/>
      <c r="AA286" s="7"/>
    </row>
    <row r="287">
      <c r="A287" s="242"/>
      <c r="B287" s="242"/>
      <c r="C287" s="177"/>
      <c r="D287" s="177"/>
      <c r="E287" s="177"/>
      <c r="F287" s="177"/>
      <c r="G287" s="177"/>
      <c r="H287" s="148"/>
      <c r="I287" s="7"/>
      <c r="J287" s="7"/>
      <c r="K287" s="7"/>
      <c r="L287" s="7"/>
      <c r="M287" s="7"/>
      <c r="N287" s="7"/>
      <c r="O287" s="7"/>
      <c r="P287" s="7"/>
      <c r="Q287" s="7"/>
      <c r="R287" s="7"/>
      <c r="S287" s="7"/>
      <c r="T287" s="7"/>
      <c r="U287" s="7"/>
      <c r="V287" s="7"/>
      <c r="W287" s="7"/>
      <c r="X287" s="7"/>
      <c r="Y287" s="7"/>
      <c r="Z287" s="7"/>
      <c r="AA287" s="7"/>
    </row>
    <row r="288">
      <c r="A288" s="242"/>
      <c r="B288" s="242"/>
      <c r="C288" s="177"/>
      <c r="D288" s="177"/>
      <c r="E288" s="177"/>
      <c r="F288" s="177"/>
      <c r="G288" s="177"/>
      <c r="H288" s="148"/>
      <c r="I288" s="7"/>
      <c r="J288" s="7"/>
      <c r="K288" s="7"/>
      <c r="L288" s="7"/>
      <c r="M288" s="7"/>
      <c r="N288" s="7"/>
      <c r="O288" s="7"/>
      <c r="P288" s="7"/>
      <c r="Q288" s="7"/>
      <c r="R288" s="7"/>
      <c r="S288" s="7"/>
      <c r="T288" s="7"/>
      <c r="U288" s="7"/>
      <c r="V288" s="7"/>
      <c r="W288" s="7"/>
      <c r="X288" s="7"/>
      <c r="Y288" s="7"/>
      <c r="Z288" s="7"/>
      <c r="AA288" s="7"/>
    </row>
    <row r="289">
      <c r="A289" s="242"/>
      <c r="B289" s="242"/>
      <c r="C289" s="177"/>
      <c r="D289" s="177"/>
      <c r="E289" s="177"/>
      <c r="F289" s="177"/>
      <c r="G289" s="177"/>
      <c r="H289" s="148"/>
      <c r="I289" s="7"/>
      <c r="J289" s="7"/>
      <c r="K289" s="7"/>
      <c r="L289" s="7"/>
      <c r="M289" s="7"/>
      <c r="N289" s="7"/>
      <c r="O289" s="7"/>
      <c r="P289" s="7"/>
      <c r="Q289" s="7"/>
      <c r="R289" s="7"/>
      <c r="S289" s="7"/>
      <c r="T289" s="7"/>
      <c r="U289" s="7"/>
      <c r="V289" s="7"/>
      <c r="W289" s="7"/>
      <c r="X289" s="7"/>
      <c r="Y289" s="7"/>
      <c r="Z289" s="7"/>
      <c r="AA289" s="7"/>
    </row>
    <row r="290">
      <c r="A290" s="242"/>
      <c r="B290" s="242"/>
      <c r="C290" s="177"/>
      <c r="D290" s="177"/>
      <c r="E290" s="177"/>
      <c r="F290" s="177"/>
      <c r="G290" s="177"/>
      <c r="H290" s="148"/>
      <c r="I290" s="7"/>
      <c r="J290" s="7"/>
      <c r="K290" s="7"/>
      <c r="L290" s="7"/>
      <c r="M290" s="7"/>
      <c r="N290" s="7"/>
      <c r="O290" s="7"/>
      <c r="P290" s="7"/>
      <c r="Q290" s="7"/>
      <c r="R290" s="7"/>
      <c r="S290" s="7"/>
      <c r="T290" s="7"/>
      <c r="U290" s="7"/>
      <c r="V290" s="7"/>
      <c r="W290" s="7"/>
      <c r="X290" s="7"/>
      <c r="Y290" s="7"/>
      <c r="Z290" s="7"/>
      <c r="AA290" s="7"/>
    </row>
    <row r="291">
      <c r="A291" s="242"/>
      <c r="B291" s="242"/>
      <c r="C291" s="177"/>
      <c r="D291" s="177"/>
      <c r="E291" s="177"/>
      <c r="F291" s="177"/>
      <c r="G291" s="177"/>
      <c r="H291" s="148"/>
      <c r="I291" s="7"/>
      <c r="J291" s="7"/>
      <c r="K291" s="7"/>
      <c r="L291" s="7"/>
      <c r="M291" s="7"/>
      <c r="N291" s="7"/>
      <c r="O291" s="7"/>
      <c r="P291" s="7"/>
      <c r="Q291" s="7"/>
      <c r="R291" s="7"/>
      <c r="S291" s="7"/>
      <c r="T291" s="7"/>
      <c r="U291" s="7"/>
      <c r="V291" s="7"/>
      <c r="W291" s="7"/>
      <c r="X291" s="7"/>
      <c r="Y291" s="7"/>
      <c r="Z291" s="7"/>
      <c r="AA291" s="7"/>
    </row>
    <row r="292">
      <c r="A292" s="242"/>
      <c r="B292" s="242"/>
      <c r="C292" s="177"/>
      <c r="D292" s="177"/>
      <c r="E292" s="177"/>
      <c r="F292" s="177"/>
      <c r="G292" s="177"/>
      <c r="H292" s="148"/>
      <c r="I292" s="7"/>
      <c r="J292" s="7"/>
      <c r="K292" s="7"/>
      <c r="L292" s="7"/>
      <c r="M292" s="7"/>
      <c r="N292" s="7"/>
      <c r="O292" s="7"/>
      <c r="P292" s="7"/>
      <c r="Q292" s="7"/>
      <c r="R292" s="7"/>
      <c r="S292" s="7"/>
      <c r="T292" s="7"/>
      <c r="U292" s="7"/>
      <c r="V292" s="7"/>
      <c r="W292" s="7"/>
      <c r="X292" s="7"/>
      <c r="Y292" s="7"/>
      <c r="Z292" s="7"/>
      <c r="AA292" s="7"/>
    </row>
    <row r="293">
      <c r="A293" s="242"/>
      <c r="B293" s="242"/>
      <c r="C293" s="177"/>
      <c r="D293" s="177"/>
      <c r="E293" s="177"/>
      <c r="F293" s="177"/>
      <c r="G293" s="177"/>
      <c r="H293" s="148"/>
      <c r="I293" s="7"/>
      <c r="J293" s="7"/>
      <c r="K293" s="7"/>
      <c r="L293" s="7"/>
      <c r="M293" s="7"/>
      <c r="N293" s="7"/>
      <c r="O293" s="7"/>
      <c r="P293" s="7"/>
      <c r="Q293" s="7"/>
      <c r="R293" s="7"/>
      <c r="S293" s="7"/>
      <c r="T293" s="7"/>
      <c r="U293" s="7"/>
      <c r="V293" s="7"/>
      <c r="W293" s="7"/>
      <c r="X293" s="7"/>
      <c r="Y293" s="7"/>
      <c r="Z293" s="7"/>
      <c r="AA293" s="7"/>
    </row>
    <row r="294">
      <c r="A294" s="242"/>
      <c r="B294" s="242"/>
      <c r="C294" s="177"/>
      <c r="D294" s="177"/>
      <c r="E294" s="177"/>
      <c r="F294" s="177"/>
      <c r="G294" s="177"/>
      <c r="H294" s="148"/>
      <c r="I294" s="7"/>
      <c r="J294" s="7"/>
      <c r="K294" s="7"/>
      <c r="L294" s="7"/>
      <c r="M294" s="7"/>
      <c r="N294" s="7"/>
      <c r="O294" s="7"/>
      <c r="P294" s="7"/>
      <c r="Q294" s="7"/>
      <c r="R294" s="7"/>
      <c r="S294" s="7"/>
      <c r="T294" s="7"/>
      <c r="U294" s="7"/>
      <c r="V294" s="7"/>
      <c r="W294" s="7"/>
      <c r="X294" s="7"/>
      <c r="Y294" s="7"/>
      <c r="Z294" s="7"/>
      <c r="AA294" s="7"/>
    </row>
    <row r="295">
      <c r="A295" s="242"/>
      <c r="B295" s="242"/>
      <c r="C295" s="177"/>
      <c r="D295" s="177"/>
      <c r="E295" s="177"/>
      <c r="F295" s="177"/>
      <c r="G295" s="177"/>
      <c r="H295" s="148"/>
      <c r="I295" s="7"/>
      <c r="J295" s="7"/>
      <c r="K295" s="7"/>
      <c r="L295" s="7"/>
      <c r="M295" s="7"/>
      <c r="N295" s="7"/>
      <c r="O295" s="7"/>
      <c r="P295" s="7"/>
      <c r="Q295" s="7"/>
      <c r="R295" s="7"/>
      <c r="S295" s="7"/>
      <c r="T295" s="7"/>
      <c r="U295" s="7"/>
      <c r="V295" s="7"/>
      <c r="W295" s="7"/>
      <c r="X295" s="7"/>
      <c r="Y295" s="7"/>
      <c r="Z295" s="7"/>
      <c r="AA295" s="7"/>
    </row>
    <row r="296">
      <c r="A296" s="242"/>
      <c r="B296" s="242"/>
      <c r="C296" s="177"/>
      <c r="D296" s="177"/>
      <c r="E296" s="177"/>
      <c r="F296" s="177"/>
      <c r="G296" s="177"/>
      <c r="H296" s="148"/>
      <c r="I296" s="7"/>
      <c r="J296" s="7"/>
      <c r="K296" s="7"/>
      <c r="L296" s="7"/>
      <c r="M296" s="7"/>
      <c r="N296" s="7"/>
      <c r="O296" s="7"/>
      <c r="P296" s="7"/>
      <c r="Q296" s="7"/>
      <c r="R296" s="7"/>
      <c r="S296" s="7"/>
      <c r="T296" s="7"/>
      <c r="U296" s="7"/>
      <c r="V296" s="7"/>
      <c r="W296" s="7"/>
      <c r="X296" s="7"/>
      <c r="Y296" s="7"/>
      <c r="Z296" s="7"/>
      <c r="AA296" s="7"/>
    </row>
    <row r="297">
      <c r="A297" s="242"/>
      <c r="B297" s="242"/>
      <c r="C297" s="177"/>
      <c r="D297" s="177"/>
      <c r="E297" s="177"/>
      <c r="F297" s="177"/>
      <c r="G297" s="177"/>
      <c r="H297" s="148"/>
      <c r="I297" s="7"/>
      <c r="J297" s="7"/>
      <c r="K297" s="7"/>
      <c r="L297" s="7"/>
      <c r="M297" s="7"/>
      <c r="N297" s="7"/>
      <c r="O297" s="7"/>
      <c r="P297" s="7"/>
      <c r="Q297" s="7"/>
      <c r="R297" s="7"/>
      <c r="S297" s="7"/>
      <c r="T297" s="7"/>
      <c r="U297" s="7"/>
      <c r="V297" s="7"/>
      <c r="W297" s="7"/>
      <c r="X297" s="7"/>
      <c r="Y297" s="7"/>
      <c r="Z297" s="7"/>
      <c r="AA297" s="7"/>
    </row>
    <row r="298">
      <c r="A298" s="242"/>
      <c r="B298" s="242"/>
      <c r="C298" s="177"/>
      <c r="D298" s="177"/>
      <c r="E298" s="177"/>
      <c r="F298" s="177"/>
      <c r="G298" s="177"/>
      <c r="H298" s="148"/>
      <c r="I298" s="7"/>
      <c r="J298" s="7"/>
      <c r="K298" s="7"/>
      <c r="L298" s="7"/>
      <c r="M298" s="7"/>
      <c r="N298" s="7"/>
      <c r="O298" s="7"/>
      <c r="P298" s="7"/>
      <c r="Q298" s="7"/>
      <c r="R298" s="7"/>
      <c r="S298" s="7"/>
      <c r="T298" s="7"/>
      <c r="U298" s="7"/>
      <c r="V298" s="7"/>
      <c r="W298" s="7"/>
      <c r="X298" s="7"/>
      <c r="Y298" s="7"/>
      <c r="Z298" s="7"/>
      <c r="AA298" s="7"/>
    </row>
    <row r="299">
      <c r="A299" s="242"/>
      <c r="B299" s="242"/>
      <c r="C299" s="177"/>
      <c r="D299" s="177"/>
      <c r="E299" s="177"/>
      <c r="F299" s="177"/>
      <c r="G299" s="177"/>
      <c r="H299" s="148"/>
      <c r="I299" s="7"/>
      <c r="J299" s="7"/>
      <c r="K299" s="7"/>
      <c r="L299" s="7"/>
      <c r="M299" s="7"/>
      <c r="N299" s="7"/>
      <c r="O299" s="7"/>
      <c r="P299" s="7"/>
      <c r="Q299" s="7"/>
      <c r="R299" s="7"/>
      <c r="S299" s="7"/>
      <c r="T299" s="7"/>
      <c r="U299" s="7"/>
      <c r="V299" s="7"/>
      <c r="W299" s="7"/>
      <c r="X299" s="7"/>
      <c r="Y299" s="7"/>
      <c r="Z299" s="7"/>
      <c r="AA299" s="7"/>
    </row>
    <row r="300">
      <c r="A300" s="242"/>
      <c r="B300" s="242"/>
      <c r="C300" s="177"/>
      <c r="D300" s="177"/>
      <c r="E300" s="177"/>
      <c r="F300" s="177"/>
      <c r="G300" s="177"/>
      <c r="H300" s="148"/>
      <c r="I300" s="7"/>
      <c r="J300" s="7"/>
      <c r="K300" s="7"/>
      <c r="L300" s="7"/>
      <c r="M300" s="7"/>
      <c r="N300" s="7"/>
      <c r="O300" s="7"/>
      <c r="P300" s="7"/>
      <c r="Q300" s="7"/>
      <c r="R300" s="7"/>
      <c r="S300" s="7"/>
      <c r="T300" s="7"/>
      <c r="U300" s="7"/>
      <c r="V300" s="7"/>
      <c r="W300" s="7"/>
      <c r="X300" s="7"/>
      <c r="Y300" s="7"/>
      <c r="Z300" s="7"/>
      <c r="AA300" s="7"/>
    </row>
    <row r="301">
      <c r="A301" s="242"/>
      <c r="B301" s="242"/>
      <c r="C301" s="177"/>
      <c r="D301" s="177"/>
      <c r="E301" s="177"/>
      <c r="F301" s="177"/>
      <c r="G301" s="177"/>
      <c r="H301" s="148"/>
      <c r="I301" s="7"/>
      <c r="J301" s="7"/>
      <c r="K301" s="7"/>
      <c r="L301" s="7"/>
      <c r="M301" s="7"/>
      <c r="N301" s="7"/>
      <c r="O301" s="7"/>
      <c r="P301" s="7"/>
      <c r="Q301" s="7"/>
      <c r="R301" s="7"/>
      <c r="S301" s="7"/>
      <c r="T301" s="7"/>
      <c r="U301" s="7"/>
      <c r="V301" s="7"/>
      <c r="W301" s="7"/>
      <c r="X301" s="7"/>
      <c r="Y301" s="7"/>
      <c r="Z301" s="7"/>
      <c r="AA301" s="7"/>
    </row>
    <row r="302">
      <c r="A302" s="242"/>
      <c r="B302" s="242"/>
      <c r="C302" s="177"/>
      <c r="D302" s="177"/>
      <c r="E302" s="177"/>
      <c r="F302" s="177"/>
      <c r="G302" s="177"/>
      <c r="H302" s="148"/>
      <c r="I302" s="7"/>
      <c r="J302" s="7"/>
      <c r="K302" s="7"/>
      <c r="L302" s="7"/>
      <c r="M302" s="7"/>
      <c r="N302" s="7"/>
      <c r="O302" s="7"/>
      <c r="P302" s="7"/>
      <c r="Q302" s="7"/>
      <c r="R302" s="7"/>
      <c r="S302" s="7"/>
      <c r="T302" s="7"/>
      <c r="U302" s="7"/>
      <c r="V302" s="7"/>
      <c r="W302" s="7"/>
      <c r="X302" s="7"/>
      <c r="Y302" s="7"/>
      <c r="Z302" s="7"/>
      <c r="AA302" s="7"/>
    </row>
    <row r="303">
      <c r="A303" s="242"/>
      <c r="B303" s="242"/>
      <c r="C303" s="177"/>
      <c r="D303" s="177"/>
      <c r="E303" s="177"/>
      <c r="F303" s="177"/>
      <c r="G303" s="177"/>
      <c r="H303" s="148"/>
      <c r="I303" s="7"/>
      <c r="J303" s="7"/>
      <c r="K303" s="7"/>
      <c r="L303" s="7"/>
      <c r="M303" s="7"/>
      <c r="N303" s="7"/>
      <c r="O303" s="7"/>
      <c r="P303" s="7"/>
      <c r="Q303" s="7"/>
      <c r="R303" s="7"/>
      <c r="S303" s="7"/>
      <c r="T303" s="7"/>
      <c r="U303" s="7"/>
      <c r="V303" s="7"/>
      <c r="W303" s="7"/>
      <c r="X303" s="7"/>
      <c r="Y303" s="7"/>
      <c r="Z303" s="7"/>
      <c r="AA303" s="7"/>
    </row>
    <row r="304">
      <c r="A304" s="242"/>
      <c r="B304" s="242"/>
      <c r="C304" s="177"/>
      <c r="D304" s="177"/>
      <c r="E304" s="177"/>
      <c r="F304" s="177"/>
      <c r="G304" s="177"/>
      <c r="H304" s="148"/>
      <c r="I304" s="7"/>
      <c r="J304" s="7"/>
      <c r="K304" s="7"/>
      <c r="L304" s="7"/>
      <c r="M304" s="7"/>
      <c r="N304" s="7"/>
      <c r="O304" s="7"/>
      <c r="P304" s="7"/>
      <c r="Q304" s="7"/>
      <c r="R304" s="7"/>
      <c r="S304" s="7"/>
      <c r="T304" s="7"/>
      <c r="U304" s="7"/>
      <c r="V304" s="7"/>
      <c r="W304" s="7"/>
      <c r="X304" s="7"/>
      <c r="Y304" s="7"/>
      <c r="Z304" s="7"/>
      <c r="AA304" s="7"/>
    </row>
    <row r="305">
      <c r="A305" s="242"/>
      <c r="B305" s="242"/>
      <c r="C305" s="177"/>
      <c r="D305" s="177"/>
      <c r="E305" s="177"/>
      <c r="F305" s="177"/>
      <c r="G305" s="177"/>
      <c r="H305" s="148"/>
      <c r="I305" s="7"/>
      <c r="J305" s="7"/>
      <c r="K305" s="7"/>
      <c r="L305" s="7"/>
      <c r="M305" s="7"/>
      <c r="N305" s="7"/>
      <c r="O305" s="7"/>
      <c r="P305" s="7"/>
      <c r="Q305" s="7"/>
      <c r="R305" s="7"/>
      <c r="S305" s="7"/>
      <c r="T305" s="7"/>
      <c r="U305" s="7"/>
      <c r="V305" s="7"/>
      <c r="W305" s="7"/>
      <c r="X305" s="7"/>
      <c r="Y305" s="7"/>
      <c r="Z305" s="7"/>
      <c r="AA305" s="7"/>
    </row>
    <row r="306">
      <c r="A306" s="242"/>
      <c r="B306" s="242"/>
      <c r="C306" s="177"/>
      <c r="D306" s="177"/>
      <c r="E306" s="177"/>
      <c r="F306" s="177"/>
      <c r="G306" s="177"/>
      <c r="H306" s="148"/>
      <c r="I306" s="7"/>
      <c r="J306" s="7"/>
      <c r="K306" s="7"/>
      <c r="L306" s="7"/>
      <c r="M306" s="7"/>
      <c r="N306" s="7"/>
      <c r="O306" s="7"/>
      <c r="P306" s="7"/>
      <c r="Q306" s="7"/>
      <c r="R306" s="7"/>
      <c r="S306" s="7"/>
      <c r="T306" s="7"/>
      <c r="U306" s="7"/>
      <c r="V306" s="7"/>
      <c r="W306" s="7"/>
      <c r="X306" s="7"/>
      <c r="Y306" s="7"/>
      <c r="Z306" s="7"/>
      <c r="AA306" s="7"/>
    </row>
    <row r="307">
      <c r="A307" s="242"/>
      <c r="B307" s="242"/>
      <c r="C307" s="177"/>
      <c r="D307" s="177"/>
      <c r="E307" s="177"/>
      <c r="F307" s="177"/>
      <c r="G307" s="177"/>
      <c r="H307" s="148"/>
      <c r="I307" s="7"/>
      <c r="J307" s="7"/>
      <c r="K307" s="7"/>
      <c r="L307" s="7"/>
      <c r="M307" s="7"/>
      <c r="N307" s="7"/>
      <c r="O307" s="7"/>
      <c r="P307" s="7"/>
      <c r="Q307" s="7"/>
      <c r="R307" s="7"/>
      <c r="S307" s="7"/>
      <c r="T307" s="7"/>
      <c r="U307" s="7"/>
      <c r="V307" s="7"/>
      <c r="W307" s="7"/>
      <c r="X307" s="7"/>
      <c r="Y307" s="7"/>
      <c r="Z307" s="7"/>
      <c r="AA307" s="7"/>
    </row>
    <row r="308">
      <c r="A308" s="242"/>
      <c r="B308" s="242"/>
      <c r="C308" s="177"/>
      <c r="D308" s="177"/>
      <c r="E308" s="177"/>
      <c r="F308" s="177"/>
      <c r="G308" s="177"/>
      <c r="H308" s="148"/>
      <c r="I308" s="7"/>
      <c r="J308" s="7"/>
      <c r="K308" s="7"/>
      <c r="L308" s="7"/>
      <c r="M308" s="7"/>
      <c r="N308" s="7"/>
      <c r="O308" s="7"/>
      <c r="P308" s="7"/>
      <c r="Q308" s="7"/>
      <c r="R308" s="7"/>
      <c r="S308" s="7"/>
      <c r="T308" s="7"/>
      <c r="U308" s="7"/>
      <c r="V308" s="7"/>
      <c r="W308" s="7"/>
      <c r="X308" s="7"/>
      <c r="Y308" s="7"/>
      <c r="Z308" s="7"/>
      <c r="AA308" s="7"/>
    </row>
    <row r="309">
      <c r="A309" s="242"/>
      <c r="B309" s="242"/>
      <c r="C309" s="177"/>
      <c r="D309" s="177"/>
      <c r="E309" s="177"/>
      <c r="F309" s="177"/>
      <c r="G309" s="177"/>
      <c r="H309" s="148"/>
      <c r="I309" s="7"/>
      <c r="J309" s="7"/>
      <c r="K309" s="7"/>
      <c r="L309" s="7"/>
      <c r="M309" s="7"/>
      <c r="N309" s="7"/>
      <c r="O309" s="7"/>
      <c r="P309" s="7"/>
      <c r="Q309" s="7"/>
      <c r="R309" s="7"/>
      <c r="S309" s="7"/>
      <c r="T309" s="7"/>
      <c r="U309" s="7"/>
      <c r="V309" s="7"/>
      <c r="W309" s="7"/>
      <c r="X309" s="7"/>
      <c r="Y309" s="7"/>
      <c r="Z309" s="7"/>
      <c r="AA309" s="7"/>
    </row>
    <row r="310">
      <c r="A310" s="242"/>
      <c r="B310" s="242"/>
      <c r="C310" s="177"/>
      <c r="D310" s="177"/>
      <c r="E310" s="177"/>
      <c r="F310" s="177"/>
      <c r="G310" s="177"/>
      <c r="H310" s="148"/>
      <c r="I310" s="7"/>
      <c r="J310" s="7"/>
      <c r="K310" s="7"/>
      <c r="L310" s="7"/>
      <c r="M310" s="7"/>
      <c r="N310" s="7"/>
      <c r="O310" s="7"/>
      <c r="P310" s="7"/>
      <c r="Q310" s="7"/>
      <c r="R310" s="7"/>
      <c r="S310" s="7"/>
      <c r="T310" s="7"/>
      <c r="U310" s="7"/>
      <c r="V310" s="7"/>
      <c r="W310" s="7"/>
      <c r="X310" s="7"/>
      <c r="Y310" s="7"/>
      <c r="Z310" s="7"/>
      <c r="AA310" s="7"/>
    </row>
    <row r="311">
      <c r="A311" s="242"/>
      <c r="B311" s="242"/>
      <c r="C311" s="177"/>
      <c r="D311" s="177"/>
      <c r="E311" s="177"/>
      <c r="F311" s="177"/>
      <c r="G311" s="177"/>
      <c r="H311" s="148"/>
      <c r="I311" s="7"/>
      <c r="J311" s="7"/>
      <c r="K311" s="7"/>
      <c r="L311" s="7"/>
      <c r="M311" s="7"/>
      <c r="N311" s="7"/>
      <c r="O311" s="7"/>
      <c r="P311" s="7"/>
      <c r="Q311" s="7"/>
      <c r="R311" s="7"/>
      <c r="S311" s="7"/>
      <c r="T311" s="7"/>
      <c r="U311" s="7"/>
      <c r="V311" s="7"/>
      <c r="W311" s="7"/>
      <c r="X311" s="7"/>
      <c r="Y311" s="7"/>
      <c r="Z311" s="7"/>
      <c r="AA311" s="7"/>
    </row>
    <row r="312">
      <c r="A312" s="242"/>
      <c r="B312" s="242"/>
      <c r="C312" s="177"/>
      <c r="D312" s="177"/>
      <c r="E312" s="177"/>
      <c r="F312" s="177"/>
      <c r="G312" s="177"/>
      <c r="H312" s="148"/>
      <c r="I312" s="7"/>
      <c r="J312" s="7"/>
      <c r="K312" s="7"/>
      <c r="L312" s="7"/>
      <c r="M312" s="7"/>
      <c r="N312" s="7"/>
      <c r="O312" s="7"/>
      <c r="P312" s="7"/>
      <c r="Q312" s="7"/>
      <c r="R312" s="7"/>
      <c r="S312" s="7"/>
      <c r="T312" s="7"/>
      <c r="U312" s="7"/>
      <c r="V312" s="7"/>
      <c r="W312" s="7"/>
      <c r="X312" s="7"/>
      <c r="Y312" s="7"/>
      <c r="Z312" s="7"/>
      <c r="AA312" s="7"/>
    </row>
    <row r="313">
      <c r="A313" s="242"/>
      <c r="B313" s="242"/>
      <c r="C313" s="177"/>
      <c r="D313" s="177"/>
      <c r="E313" s="177"/>
      <c r="F313" s="177"/>
      <c r="G313" s="177"/>
      <c r="H313" s="148"/>
      <c r="I313" s="7"/>
      <c r="J313" s="7"/>
      <c r="K313" s="7"/>
      <c r="L313" s="7"/>
      <c r="M313" s="7"/>
      <c r="N313" s="7"/>
      <c r="O313" s="7"/>
      <c r="P313" s="7"/>
      <c r="Q313" s="7"/>
      <c r="R313" s="7"/>
      <c r="S313" s="7"/>
      <c r="T313" s="7"/>
      <c r="U313" s="7"/>
      <c r="V313" s="7"/>
      <c r="W313" s="7"/>
      <c r="X313" s="7"/>
      <c r="Y313" s="7"/>
      <c r="Z313" s="7"/>
      <c r="AA313" s="7"/>
    </row>
    <row r="314">
      <c r="A314" s="242"/>
      <c r="B314" s="242"/>
      <c r="C314" s="177"/>
      <c r="D314" s="177"/>
      <c r="E314" s="177"/>
      <c r="F314" s="177"/>
      <c r="G314" s="177"/>
      <c r="H314" s="148"/>
      <c r="I314" s="7"/>
      <c r="J314" s="7"/>
      <c r="K314" s="7"/>
      <c r="L314" s="7"/>
      <c r="M314" s="7"/>
      <c r="N314" s="7"/>
      <c r="O314" s="7"/>
      <c r="P314" s="7"/>
      <c r="Q314" s="7"/>
      <c r="R314" s="7"/>
      <c r="S314" s="7"/>
      <c r="T314" s="7"/>
      <c r="U314" s="7"/>
      <c r="V314" s="7"/>
      <c r="W314" s="7"/>
      <c r="X314" s="7"/>
      <c r="Y314" s="7"/>
      <c r="Z314" s="7"/>
      <c r="AA314" s="7"/>
    </row>
    <row r="315">
      <c r="A315" s="242"/>
      <c r="B315" s="242"/>
      <c r="C315" s="177"/>
      <c r="D315" s="177"/>
      <c r="E315" s="177"/>
      <c r="F315" s="177"/>
      <c r="G315" s="177"/>
      <c r="H315" s="148"/>
      <c r="I315" s="7"/>
      <c r="J315" s="7"/>
      <c r="K315" s="7"/>
      <c r="L315" s="7"/>
      <c r="M315" s="7"/>
      <c r="N315" s="7"/>
      <c r="O315" s="7"/>
      <c r="P315" s="7"/>
      <c r="Q315" s="7"/>
      <c r="R315" s="7"/>
      <c r="S315" s="7"/>
      <c r="T315" s="7"/>
      <c r="U315" s="7"/>
      <c r="V315" s="7"/>
      <c r="W315" s="7"/>
      <c r="X315" s="7"/>
      <c r="Y315" s="7"/>
      <c r="Z315" s="7"/>
      <c r="AA315" s="7"/>
    </row>
    <row r="316">
      <c r="A316" s="242"/>
      <c r="B316" s="242"/>
      <c r="C316" s="177"/>
      <c r="D316" s="177"/>
      <c r="E316" s="177"/>
      <c r="F316" s="177"/>
      <c r="G316" s="177"/>
      <c r="H316" s="148"/>
      <c r="I316" s="7"/>
      <c r="J316" s="7"/>
      <c r="K316" s="7"/>
      <c r="L316" s="7"/>
      <c r="M316" s="7"/>
      <c r="N316" s="7"/>
      <c r="O316" s="7"/>
      <c r="P316" s="7"/>
      <c r="Q316" s="7"/>
      <c r="R316" s="7"/>
      <c r="S316" s="7"/>
      <c r="T316" s="7"/>
      <c r="U316" s="7"/>
      <c r="V316" s="7"/>
      <c r="W316" s="7"/>
      <c r="X316" s="7"/>
      <c r="Y316" s="7"/>
      <c r="Z316" s="7"/>
      <c r="AA316" s="7"/>
    </row>
    <row r="317">
      <c r="A317" s="242"/>
      <c r="B317" s="242"/>
      <c r="C317" s="177"/>
      <c r="D317" s="177"/>
      <c r="E317" s="177"/>
      <c r="F317" s="177"/>
      <c r="G317" s="177"/>
      <c r="H317" s="148"/>
      <c r="I317" s="7"/>
      <c r="J317" s="7"/>
      <c r="K317" s="7"/>
      <c r="L317" s="7"/>
      <c r="M317" s="7"/>
      <c r="N317" s="7"/>
      <c r="O317" s="7"/>
      <c r="P317" s="7"/>
      <c r="Q317" s="7"/>
      <c r="R317" s="7"/>
      <c r="S317" s="7"/>
      <c r="T317" s="7"/>
      <c r="U317" s="7"/>
      <c r="V317" s="7"/>
      <c r="W317" s="7"/>
      <c r="X317" s="7"/>
      <c r="Y317" s="7"/>
      <c r="Z317" s="7"/>
      <c r="AA317" s="7"/>
    </row>
    <row r="318">
      <c r="A318" s="242"/>
      <c r="B318" s="242"/>
      <c r="C318" s="177"/>
      <c r="D318" s="177"/>
      <c r="E318" s="177"/>
      <c r="F318" s="177"/>
      <c r="G318" s="177"/>
      <c r="H318" s="148"/>
      <c r="I318" s="7"/>
      <c r="J318" s="7"/>
      <c r="K318" s="7"/>
      <c r="L318" s="7"/>
      <c r="M318" s="7"/>
      <c r="N318" s="7"/>
      <c r="O318" s="7"/>
      <c r="P318" s="7"/>
      <c r="Q318" s="7"/>
      <c r="R318" s="7"/>
      <c r="S318" s="7"/>
      <c r="T318" s="7"/>
      <c r="U318" s="7"/>
      <c r="V318" s="7"/>
      <c r="W318" s="7"/>
      <c r="X318" s="7"/>
      <c r="Y318" s="7"/>
      <c r="Z318" s="7"/>
      <c r="AA318" s="7"/>
    </row>
    <row r="319">
      <c r="A319" s="242"/>
      <c r="B319" s="242"/>
      <c r="C319" s="177"/>
      <c r="D319" s="177"/>
      <c r="E319" s="177"/>
      <c r="F319" s="177"/>
      <c r="G319" s="177"/>
      <c r="H319" s="148"/>
      <c r="I319" s="7"/>
      <c r="J319" s="7"/>
      <c r="K319" s="7"/>
      <c r="L319" s="7"/>
      <c r="M319" s="7"/>
      <c r="N319" s="7"/>
      <c r="O319" s="7"/>
      <c r="P319" s="7"/>
      <c r="Q319" s="7"/>
      <c r="R319" s="7"/>
      <c r="S319" s="7"/>
      <c r="T319" s="7"/>
      <c r="U319" s="7"/>
      <c r="V319" s="7"/>
      <c r="W319" s="7"/>
      <c r="X319" s="7"/>
      <c r="Y319" s="7"/>
      <c r="Z319" s="7"/>
      <c r="AA319" s="7"/>
    </row>
    <row r="320">
      <c r="A320" s="242"/>
      <c r="B320" s="242"/>
      <c r="C320" s="177"/>
      <c r="D320" s="177"/>
      <c r="E320" s="177"/>
      <c r="F320" s="177"/>
      <c r="G320" s="177"/>
      <c r="H320" s="148"/>
      <c r="I320" s="7"/>
      <c r="J320" s="7"/>
      <c r="K320" s="7"/>
      <c r="L320" s="7"/>
      <c r="M320" s="7"/>
      <c r="N320" s="7"/>
      <c r="O320" s="7"/>
      <c r="P320" s="7"/>
      <c r="Q320" s="7"/>
      <c r="R320" s="7"/>
      <c r="S320" s="7"/>
      <c r="T320" s="7"/>
      <c r="U320" s="7"/>
      <c r="V320" s="7"/>
      <c r="W320" s="7"/>
      <c r="X320" s="7"/>
      <c r="Y320" s="7"/>
      <c r="Z320" s="7"/>
      <c r="AA320" s="7"/>
    </row>
    <row r="321">
      <c r="A321" s="242"/>
      <c r="B321" s="242"/>
      <c r="C321" s="177"/>
      <c r="D321" s="177"/>
      <c r="E321" s="177"/>
      <c r="F321" s="177"/>
      <c r="G321" s="177"/>
      <c r="H321" s="148"/>
      <c r="I321" s="7"/>
      <c r="J321" s="7"/>
      <c r="K321" s="7"/>
      <c r="L321" s="7"/>
      <c r="M321" s="7"/>
      <c r="N321" s="7"/>
      <c r="O321" s="7"/>
      <c r="P321" s="7"/>
      <c r="Q321" s="7"/>
      <c r="R321" s="7"/>
      <c r="S321" s="7"/>
      <c r="T321" s="7"/>
      <c r="U321" s="7"/>
      <c r="V321" s="7"/>
      <c r="W321" s="7"/>
      <c r="X321" s="7"/>
      <c r="Y321" s="7"/>
      <c r="Z321" s="7"/>
      <c r="AA321" s="7"/>
    </row>
    <row r="322">
      <c r="A322" s="242"/>
      <c r="B322" s="242"/>
      <c r="C322" s="177"/>
      <c r="D322" s="177"/>
      <c r="E322" s="177"/>
      <c r="F322" s="177"/>
      <c r="G322" s="177"/>
      <c r="H322" s="148"/>
      <c r="I322" s="7"/>
      <c r="J322" s="7"/>
      <c r="K322" s="7"/>
      <c r="L322" s="7"/>
      <c r="M322" s="7"/>
      <c r="N322" s="7"/>
      <c r="O322" s="7"/>
      <c r="P322" s="7"/>
      <c r="Q322" s="7"/>
      <c r="R322" s="7"/>
      <c r="S322" s="7"/>
      <c r="T322" s="7"/>
      <c r="U322" s="7"/>
      <c r="V322" s="7"/>
      <c r="W322" s="7"/>
      <c r="X322" s="7"/>
      <c r="Y322" s="7"/>
      <c r="Z322" s="7"/>
      <c r="AA322" s="7"/>
    </row>
    <row r="323">
      <c r="A323" s="242"/>
      <c r="B323" s="242"/>
      <c r="C323" s="177"/>
      <c r="D323" s="177"/>
      <c r="E323" s="177"/>
      <c r="F323" s="177"/>
      <c r="G323" s="177"/>
      <c r="H323" s="148"/>
      <c r="I323" s="7"/>
      <c r="J323" s="7"/>
      <c r="K323" s="7"/>
      <c r="L323" s="7"/>
      <c r="M323" s="7"/>
      <c r="N323" s="7"/>
      <c r="O323" s="7"/>
      <c r="P323" s="7"/>
      <c r="Q323" s="7"/>
      <c r="R323" s="7"/>
      <c r="S323" s="7"/>
      <c r="T323" s="7"/>
      <c r="U323" s="7"/>
      <c r="V323" s="7"/>
      <c r="W323" s="7"/>
      <c r="X323" s="7"/>
      <c r="Y323" s="7"/>
      <c r="Z323" s="7"/>
      <c r="AA323" s="7"/>
    </row>
    <row r="324">
      <c r="A324" s="242"/>
      <c r="B324" s="242"/>
      <c r="C324" s="177"/>
      <c r="D324" s="177"/>
      <c r="E324" s="177"/>
      <c r="F324" s="177"/>
      <c r="G324" s="177"/>
      <c r="H324" s="148"/>
      <c r="I324" s="7"/>
      <c r="J324" s="7"/>
      <c r="K324" s="7"/>
      <c r="L324" s="7"/>
      <c r="M324" s="7"/>
      <c r="N324" s="7"/>
      <c r="O324" s="7"/>
      <c r="P324" s="7"/>
      <c r="Q324" s="7"/>
      <c r="R324" s="7"/>
      <c r="S324" s="7"/>
      <c r="T324" s="7"/>
      <c r="U324" s="7"/>
      <c r="V324" s="7"/>
      <c r="W324" s="7"/>
      <c r="X324" s="7"/>
      <c r="Y324" s="7"/>
      <c r="Z324" s="7"/>
      <c r="AA324" s="7"/>
    </row>
    <row r="325">
      <c r="A325" s="242"/>
      <c r="B325" s="242"/>
      <c r="C325" s="177"/>
      <c r="D325" s="177"/>
      <c r="E325" s="177"/>
      <c r="F325" s="177"/>
      <c r="G325" s="177"/>
      <c r="H325" s="148"/>
      <c r="I325" s="7"/>
      <c r="J325" s="7"/>
      <c r="K325" s="7"/>
      <c r="L325" s="7"/>
      <c r="M325" s="7"/>
      <c r="N325" s="7"/>
      <c r="O325" s="7"/>
      <c r="P325" s="7"/>
      <c r="Q325" s="7"/>
      <c r="R325" s="7"/>
      <c r="S325" s="7"/>
      <c r="T325" s="7"/>
      <c r="U325" s="7"/>
      <c r="V325" s="7"/>
      <c r="W325" s="7"/>
      <c r="X325" s="7"/>
      <c r="Y325" s="7"/>
      <c r="Z325" s="7"/>
      <c r="AA325" s="7"/>
    </row>
    <row r="326">
      <c r="A326" s="242"/>
      <c r="B326" s="242"/>
      <c r="C326" s="177"/>
      <c r="D326" s="177"/>
      <c r="E326" s="177"/>
      <c r="F326" s="177"/>
      <c r="G326" s="177"/>
      <c r="H326" s="148"/>
      <c r="I326" s="7"/>
      <c r="J326" s="7"/>
      <c r="K326" s="7"/>
      <c r="L326" s="7"/>
      <c r="M326" s="7"/>
      <c r="N326" s="7"/>
      <c r="O326" s="7"/>
      <c r="P326" s="7"/>
      <c r="Q326" s="7"/>
      <c r="R326" s="7"/>
      <c r="S326" s="7"/>
      <c r="T326" s="7"/>
      <c r="U326" s="7"/>
      <c r="V326" s="7"/>
      <c r="W326" s="7"/>
      <c r="X326" s="7"/>
      <c r="Y326" s="7"/>
      <c r="Z326" s="7"/>
      <c r="AA326" s="7"/>
    </row>
    <row r="327">
      <c r="A327" s="242"/>
      <c r="B327" s="242"/>
      <c r="C327" s="177"/>
      <c r="D327" s="177"/>
      <c r="E327" s="177"/>
      <c r="F327" s="177"/>
      <c r="G327" s="177"/>
      <c r="H327" s="148"/>
      <c r="I327" s="7"/>
      <c r="J327" s="7"/>
      <c r="K327" s="7"/>
      <c r="L327" s="7"/>
      <c r="M327" s="7"/>
      <c r="N327" s="7"/>
      <c r="O327" s="7"/>
      <c r="P327" s="7"/>
      <c r="Q327" s="7"/>
      <c r="R327" s="7"/>
      <c r="S327" s="7"/>
      <c r="T327" s="7"/>
      <c r="U327" s="7"/>
      <c r="V327" s="7"/>
      <c r="W327" s="7"/>
      <c r="X327" s="7"/>
      <c r="Y327" s="7"/>
      <c r="Z327" s="7"/>
      <c r="AA327" s="7"/>
    </row>
    <row r="328">
      <c r="A328" s="242"/>
      <c r="B328" s="242"/>
      <c r="C328" s="177"/>
      <c r="D328" s="177"/>
      <c r="E328" s="177"/>
      <c r="F328" s="177"/>
      <c r="G328" s="177"/>
      <c r="H328" s="148"/>
      <c r="I328" s="7"/>
      <c r="J328" s="7"/>
      <c r="K328" s="7"/>
      <c r="L328" s="7"/>
      <c r="M328" s="7"/>
      <c r="N328" s="7"/>
      <c r="O328" s="7"/>
      <c r="P328" s="7"/>
      <c r="Q328" s="7"/>
      <c r="R328" s="7"/>
      <c r="S328" s="7"/>
      <c r="T328" s="7"/>
      <c r="U328" s="7"/>
      <c r="V328" s="7"/>
      <c r="W328" s="7"/>
      <c r="X328" s="7"/>
      <c r="Y328" s="7"/>
      <c r="Z328" s="7"/>
      <c r="AA328" s="7"/>
    </row>
    <row r="329">
      <c r="A329" s="242"/>
      <c r="B329" s="242"/>
      <c r="C329" s="177"/>
      <c r="D329" s="177"/>
      <c r="E329" s="177"/>
      <c r="F329" s="177"/>
      <c r="G329" s="177"/>
      <c r="H329" s="148"/>
      <c r="I329" s="7"/>
      <c r="J329" s="7"/>
      <c r="K329" s="7"/>
      <c r="L329" s="7"/>
      <c r="M329" s="7"/>
      <c r="N329" s="7"/>
      <c r="O329" s="7"/>
      <c r="P329" s="7"/>
      <c r="Q329" s="7"/>
      <c r="R329" s="7"/>
      <c r="S329" s="7"/>
      <c r="T329" s="7"/>
      <c r="U329" s="7"/>
      <c r="V329" s="7"/>
      <c r="W329" s="7"/>
      <c r="X329" s="7"/>
      <c r="Y329" s="7"/>
      <c r="Z329" s="7"/>
      <c r="AA329" s="7"/>
    </row>
    <row r="330">
      <c r="A330" s="242"/>
      <c r="B330" s="242"/>
      <c r="C330" s="177"/>
      <c r="D330" s="177"/>
      <c r="E330" s="177"/>
      <c r="F330" s="177"/>
      <c r="G330" s="177"/>
      <c r="H330" s="148"/>
      <c r="I330" s="7"/>
      <c r="J330" s="7"/>
      <c r="K330" s="7"/>
      <c r="L330" s="7"/>
      <c r="M330" s="7"/>
      <c r="N330" s="7"/>
      <c r="O330" s="7"/>
      <c r="P330" s="7"/>
      <c r="Q330" s="7"/>
      <c r="R330" s="7"/>
      <c r="S330" s="7"/>
      <c r="T330" s="7"/>
      <c r="U330" s="7"/>
      <c r="V330" s="7"/>
      <c r="W330" s="7"/>
      <c r="X330" s="7"/>
      <c r="Y330" s="7"/>
      <c r="Z330" s="7"/>
      <c r="AA330" s="7"/>
    </row>
    <row r="331">
      <c r="A331" s="242"/>
      <c r="B331" s="242"/>
      <c r="C331" s="177"/>
      <c r="D331" s="177"/>
      <c r="E331" s="177"/>
      <c r="F331" s="177"/>
      <c r="G331" s="177"/>
      <c r="H331" s="148"/>
      <c r="I331" s="7"/>
      <c r="J331" s="7"/>
      <c r="K331" s="7"/>
      <c r="L331" s="7"/>
      <c r="M331" s="7"/>
      <c r="N331" s="7"/>
      <c r="O331" s="7"/>
      <c r="P331" s="7"/>
      <c r="Q331" s="7"/>
      <c r="R331" s="7"/>
      <c r="S331" s="7"/>
      <c r="T331" s="7"/>
      <c r="U331" s="7"/>
      <c r="V331" s="7"/>
      <c r="W331" s="7"/>
      <c r="X331" s="7"/>
      <c r="Y331" s="7"/>
      <c r="Z331" s="7"/>
      <c r="AA331" s="7"/>
    </row>
    <row r="332">
      <c r="A332" s="242"/>
      <c r="B332" s="242"/>
      <c r="C332" s="177"/>
      <c r="D332" s="177"/>
      <c r="E332" s="177"/>
      <c r="F332" s="177"/>
      <c r="G332" s="177"/>
      <c r="H332" s="148"/>
      <c r="I332" s="7"/>
      <c r="J332" s="7"/>
      <c r="K332" s="7"/>
      <c r="L332" s="7"/>
      <c r="M332" s="7"/>
      <c r="N332" s="7"/>
      <c r="O332" s="7"/>
      <c r="P332" s="7"/>
      <c r="Q332" s="7"/>
      <c r="R332" s="7"/>
      <c r="S332" s="7"/>
      <c r="T332" s="7"/>
      <c r="U332" s="7"/>
      <c r="V332" s="7"/>
      <c r="W332" s="7"/>
      <c r="X332" s="7"/>
      <c r="Y332" s="7"/>
      <c r="Z332" s="7"/>
      <c r="AA332" s="7"/>
    </row>
    <row r="333">
      <c r="A333" s="242"/>
      <c r="B333" s="242"/>
      <c r="C333" s="177"/>
      <c r="D333" s="177"/>
      <c r="E333" s="177"/>
      <c r="F333" s="177"/>
      <c r="G333" s="177"/>
      <c r="H333" s="148"/>
      <c r="I333" s="7"/>
      <c r="J333" s="7"/>
      <c r="K333" s="7"/>
      <c r="L333" s="7"/>
      <c r="M333" s="7"/>
      <c r="N333" s="7"/>
      <c r="O333" s="7"/>
      <c r="P333" s="7"/>
      <c r="Q333" s="7"/>
      <c r="R333" s="7"/>
      <c r="S333" s="7"/>
      <c r="T333" s="7"/>
      <c r="U333" s="7"/>
      <c r="V333" s="7"/>
      <c r="W333" s="7"/>
      <c r="X333" s="7"/>
      <c r="Y333" s="7"/>
      <c r="Z333" s="7"/>
      <c r="AA333" s="7"/>
    </row>
    <row r="334">
      <c r="A334" s="242"/>
      <c r="B334" s="242"/>
      <c r="C334" s="177"/>
      <c r="D334" s="177"/>
      <c r="E334" s="177"/>
      <c r="F334" s="177"/>
      <c r="G334" s="177"/>
      <c r="H334" s="148"/>
      <c r="I334" s="7"/>
      <c r="J334" s="7"/>
      <c r="K334" s="7"/>
      <c r="L334" s="7"/>
      <c r="M334" s="7"/>
      <c r="N334" s="7"/>
      <c r="O334" s="7"/>
      <c r="P334" s="7"/>
      <c r="Q334" s="7"/>
      <c r="R334" s="7"/>
      <c r="S334" s="7"/>
      <c r="T334" s="7"/>
      <c r="U334" s="7"/>
      <c r="V334" s="7"/>
      <c r="W334" s="7"/>
      <c r="X334" s="7"/>
      <c r="Y334" s="7"/>
      <c r="Z334" s="7"/>
      <c r="AA334" s="7"/>
    </row>
    <row r="335">
      <c r="A335" s="242"/>
      <c r="B335" s="242"/>
      <c r="C335" s="177"/>
      <c r="D335" s="177"/>
      <c r="E335" s="177"/>
      <c r="F335" s="177"/>
      <c r="G335" s="177"/>
      <c r="H335" s="148"/>
      <c r="I335" s="7"/>
      <c r="J335" s="7"/>
      <c r="K335" s="7"/>
      <c r="L335" s="7"/>
      <c r="M335" s="7"/>
      <c r="N335" s="7"/>
      <c r="O335" s="7"/>
      <c r="P335" s="7"/>
      <c r="Q335" s="7"/>
      <c r="R335" s="7"/>
      <c r="S335" s="7"/>
      <c r="T335" s="7"/>
      <c r="U335" s="7"/>
      <c r="V335" s="7"/>
      <c r="W335" s="7"/>
      <c r="X335" s="7"/>
      <c r="Y335" s="7"/>
      <c r="Z335" s="7"/>
      <c r="AA335" s="7"/>
    </row>
    <row r="336">
      <c r="A336" s="242"/>
      <c r="B336" s="242"/>
      <c r="C336" s="177"/>
      <c r="D336" s="177"/>
      <c r="E336" s="177"/>
      <c r="F336" s="177"/>
      <c r="G336" s="177"/>
      <c r="H336" s="148"/>
      <c r="I336" s="7"/>
      <c r="J336" s="7"/>
      <c r="K336" s="7"/>
      <c r="L336" s="7"/>
      <c r="M336" s="7"/>
      <c r="N336" s="7"/>
      <c r="O336" s="7"/>
      <c r="P336" s="7"/>
      <c r="Q336" s="7"/>
      <c r="R336" s="7"/>
      <c r="S336" s="7"/>
      <c r="T336" s="7"/>
      <c r="U336" s="7"/>
      <c r="V336" s="7"/>
      <c r="W336" s="7"/>
      <c r="X336" s="7"/>
      <c r="Y336" s="7"/>
      <c r="Z336" s="7"/>
      <c r="AA336" s="7"/>
    </row>
    <row r="337">
      <c r="A337" s="242"/>
      <c r="B337" s="242"/>
      <c r="C337" s="177"/>
      <c r="D337" s="177"/>
      <c r="E337" s="177"/>
      <c r="F337" s="177"/>
      <c r="G337" s="177"/>
      <c r="H337" s="148"/>
      <c r="I337" s="7"/>
      <c r="J337" s="7"/>
      <c r="K337" s="7"/>
      <c r="L337" s="7"/>
      <c r="M337" s="7"/>
      <c r="N337" s="7"/>
      <c r="O337" s="7"/>
      <c r="P337" s="7"/>
      <c r="Q337" s="7"/>
      <c r="R337" s="7"/>
      <c r="S337" s="7"/>
      <c r="T337" s="7"/>
      <c r="U337" s="7"/>
      <c r="V337" s="7"/>
      <c r="W337" s="7"/>
      <c r="X337" s="7"/>
      <c r="Y337" s="7"/>
      <c r="Z337" s="7"/>
      <c r="AA337" s="7"/>
    </row>
    <row r="338">
      <c r="A338" s="242"/>
      <c r="B338" s="242"/>
      <c r="C338" s="177"/>
      <c r="D338" s="177"/>
      <c r="E338" s="177"/>
      <c r="F338" s="177"/>
      <c r="G338" s="177"/>
      <c r="H338" s="148"/>
      <c r="I338" s="7"/>
      <c r="J338" s="7"/>
      <c r="K338" s="7"/>
      <c r="L338" s="7"/>
      <c r="M338" s="7"/>
      <c r="N338" s="7"/>
      <c r="O338" s="7"/>
      <c r="P338" s="7"/>
      <c r="Q338" s="7"/>
      <c r="R338" s="7"/>
      <c r="S338" s="7"/>
      <c r="T338" s="7"/>
      <c r="U338" s="7"/>
      <c r="V338" s="7"/>
      <c r="W338" s="7"/>
      <c r="X338" s="7"/>
      <c r="Y338" s="7"/>
      <c r="Z338" s="7"/>
      <c r="AA338" s="7"/>
    </row>
    <row r="339">
      <c r="A339" s="242"/>
      <c r="B339" s="242"/>
      <c r="C339" s="177"/>
      <c r="D339" s="177"/>
      <c r="E339" s="177"/>
      <c r="F339" s="177"/>
      <c r="G339" s="177"/>
      <c r="H339" s="148"/>
      <c r="I339" s="7"/>
      <c r="J339" s="7"/>
      <c r="K339" s="7"/>
      <c r="L339" s="7"/>
      <c r="M339" s="7"/>
      <c r="N339" s="7"/>
      <c r="O339" s="7"/>
      <c r="P339" s="7"/>
      <c r="Q339" s="7"/>
      <c r="R339" s="7"/>
      <c r="S339" s="7"/>
      <c r="T339" s="7"/>
      <c r="U339" s="7"/>
      <c r="V339" s="7"/>
      <c r="W339" s="7"/>
      <c r="X339" s="7"/>
      <c r="Y339" s="7"/>
      <c r="Z339" s="7"/>
      <c r="AA339" s="7"/>
    </row>
    <row r="340">
      <c r="A340" s="242"/>
      <c r="B340" s="242"/>
      <c r="C340" s="177"/>
      <c r="D340" s="177"/>
      <c r="E340" s="177"/>
      <c r="F340" s="177"/>
      <c r="G340" s="177"/>
      <c r="H340" s="148"/>
      <c r="I340" s="7"/>
      <c r="J340" s="7"/>
      <c r="K340" s="7"/>
      <c r="L340" s="7"/>
      <c r="M340" s="7"/>
      <c r="N340" s="7"/>
      <c r="O340" s="7"/>
      <c r="P340" s="7"/>
      <c r="Q340" s="7"/>
      <c r="R340" s="7"/>
      <c r="S340" s="7"/>
      <c r="T340" s="7"/>
      <c r="U340" s="7"/>
      <c r="V340" s="7"/>
      <c r="W340" s="7"/>
      <c r="X340" s="7"/>
      <c r="Y340" s="7"/>
      <c r="Z340" s="7"/>
      <c r="AA340" s="7"/>
    </row>
    <row r="341">
      <c r="A341" s="242"/>
      <c r="B341" s="242"/>
      <c r="C341" s="177"/>
      <c r="D341" s="177"/>
      <c r="E341" s="177"/>
      <c r="F341" s="177"/>
      <c r="G341" s="177"/>
      <c r="H341" s="148"/>
      <c r="I341" s="7"/>
      <c r="J341" s="7"/>
      <c r="K341" s="7"/>
      <c r="L341" s="7"/>
      <c r="M341" s="7"/>
      <c r="N341" s="7"/>
      <c r="O341" s="7"/>
      <c r="P341" s="7"/>
      <c r="Q341" s="7"/>
      <c r="R341" s="7"/>
      <c r="S341" s="7"/>
      <c r="T341" s="7"/>
      <c r="U341" s="7"/>
      <c r="V341" s="7"/>
      <c r="W341" s="7"/>
      <c r="X341" s="7"/>
      <c r="Y341" s="7"/>
      <c r="Z341" s="7"/>
      <c r="AA341" s="7"/>
    </row>
    <row r="342">
      <c r="A342" s="242"/>
      <c r="B342" s="242"/>
      <c r="C342" s="177"/>
      <c r="D342" s="177"/>
      <c r="E342" s="177"/>
      <c r="F342" s="177"/>
      <c r="G342" s="177"/>
      <c r="H342" s="148"/>
      <c r="I342" s="7"/>
      <c r="J342" s="7"/>
      <c r="K342" s="7"/>
      <c r="L342" s="7"/>
      <c r="M342" s="7"/>
      <c r="N342" s="7"/>
      <c r="O342" s="7"/>
      <c r="P342" s="7"/>
      <c r="Q342" s="7"/>
      <c r="R342" s="7"/>
      <c r="S342" s="7"/>
      <c r="T342" s="7"/>
      <c r="U342" s="7"/>
      <c r="V342" s="7"/>
      <c r="W342" s="7"/>
      <c r="X342" s="7"/>
      <c r="Y342" s="7"/>
      <c r="Z342" s="7"/>
      <c r="AA342" s="7"/>
    </row>
    <row r="343">
      <c r="A343" s="242"/>
      <c r="B343" s="242"/>
      <c r="C343" s="177"/>
      <c r="D343" s="177"/>
      <c r="E343" s="177"/>
      <c r="F343" s="177"/>
      <c r="G343" s="177"/>
      <c r="H343" s="148"/>
      <c r="I343" s="7"/>
      <c r="J343" s="7"/>
      <c r="K343" s="7"/>
      <c r="L343" s="7"/>
      <c r="M343" s="7"/>
      <c r="N343" s="7"/>
      <c r="O343" s="7"/>
      <c r="P343" s="7"/>
      <c r="Q343" s="7"/>
      <c r="R343" s="7"/>
      <c r="S343" s="7"/>
      <c r="T343" s="7"/>
      <c r="U343" s="7"/>
      <c r="V343" s="7"/>
      <c r="W343" s="7"/>
      <c r="X343" s="7"/>
      <c r="Y343" s="7"/>
      <c r="Z343" s="7"/>
      <c r="AA343" s="7"/>
    </row>
    <row r="344">
      <c r="A344" s="242"/>
      <c r="B344" s="242"/>
      <c r="C344" s="177"/>
      <c r="D344" s="177"/>
      <c r="E344" s="177"/>
      <c r="F344" s="177"/>
      <c r="G344" s="177"/>
      <c r="H344" s="148"/>
      <c r="I344" s="7"/>
      <c r="J344" s="7"/>
      <c r="K344" s="7"/>
      <c r="L344" s="7"/>
      <c r="M344" s="7"/>
      <c r="N344" s="7"/>
      <c r="O344" s="7"/>
      <c r="P344" s="7"/>
      <c r="Q344" s="7"/>
      <c r="R344" s="7"/>
      <c r="S344" s="7"/>
      <c r="T344" s="7"/>
      <c r="U344" s="7"/>
      <c r="V344" s="7"/>
      <c r="W344" s="7"/>
      <c r="X344" s="7"/>
      <c r="Y344" s="7"/>
      <c r="Z344" s="7"/>
      <c r="AA344" s="7"/>
    </row>
    <row r="345">
      <c r="A345" s="242"/>
      <c r="B345" s="242"/>
      <c r="C345" s="177"/>
      <c r="D345" s="177"/>
      <c r="E345" s="177"/>
      <c r="F345" s="177"/>
      <c r="G345" s="177"/>
      <c r="H345" s="148"/>
      <c r="I345" s="7"/>
      <c r="J345" s="7"/>
      <c r="K345" s="7"/>
      <c r="L345" s="7"/>
      <c r="M345" s="7"/>
      <c r="N345" s="7"/>
      <c r="O345" s="7"/>
      <c r="P345" s="7"/>
      <c r="Q345" s="7"/>
      <c r="R345" s="7"/>
      <c r="S345" s="7"/>
      <c r="T345" s="7"/>
      <c r="U345" s="7"/>
      <c r="V345" s="7"/>
      <c r="W345" s="7"/>
      <c r="X345" s="7"/>
      <c r="Y345" s="7"/>
      <c r="Z345" s="7"/>
      <c r="AA345" s="7"/>
    </row>
    <row r="346">
      <c r="A346" s="242"/>
      <c r="B346" s="242"/>
      <c r="C346" s="177"/>
      <c r="D346" s="177"/>
      <c r="E346" s="177"/>
      <c r="F346" s="177"/>
      <c r="G346" s="177"/>
      <c r="H346" s="148"/>
      <c r="I346" s="7"/>
      <c r="J346" s="7"/>
      <c r="K346" s="7"/>
      <c r="L346" s="7"/>
      <c r="M346" s="7"/>
      <c r="N346" s="7"/>
      <c r="O346" s="7"/>
      <c r="P346" s="7"/>
      <c r="Q346" s="7"/>
      <c r="R346" s="7"/>
      <c r="S346" s="7"/>
      <c r="T346" s="7"/>
      <c r="U346" s="7"/>
      <c r="V346" s="7"/>
      <c r="W346" s="7"/>
      <c r="X346" s="7"/>
      <c r="Y346" s="7"/>
      <c r="Z346" s="7"/>
      <c r="AA346" s="7"/>
    </row>
    <row r="347">
      <c r="A347" s="242"/>
      <c r="B347" s="242"/>
      <c r="C347" s="177"/>
      <c r="D347" s="177"/>
      <c r="E347" s="177"/>
      <c r="F347" s="177"/>
      <c r="G347" s="177"/>
      <c r="H347" s="148"/>
      <c r="I347" s="7"/>
      <c r="J347" s="7"/>
      <c r="K347" s="7"/>
      <c r="L347" s="7"/>
      <c r="M347" s="7"/>
      <c r="N347" s="7"/>
      <c r="O347" s="7"/>
      <c r="P347" s="7"/>
      <c r="Q347" s="7"/>
      <c r="R347" s="7"/>
      <c r="S347" s="7"/>
      <c r="T347" s="7"/>
      <c r="U347" s="7"/>
      <c r="V347" s="7"/>
      <c r="W347" s="7"/>
      <c r="X347" s="7"/>
      <c r="Y347" s="7"/>
      <c r="Z347" s="7"/>
      <c r="AA347" s="7"/>
    </row>
    <row r="348">
      <c r="A348" s="242"/>
      <c r="B348" s="242"/>
      <c r="C348" s="177"/>
      <c r="D348" s="177"/>
      <c r="E348" s="177"/>
      <c r="F348" s="177"/>
      <c r="G348" s="177"/>
      <c r="H348" s="148"/>
      <c r="I348" s="7"/>
      <c r="J348" s="7"/>
      <c r="K348" s="7"/>
      <c r="L348" s="7"/>
      <c r="M348" s="7"/>
      <c r="N348" s="7"/>
      <c r="O348" s="7"/>
      <c r="P348" s="7"/>
      <c r="Q348" s="7"/>
      <c r="R348" s="7"/>
      <c r="S348" s="7"/>
      <c r="T348" s="7"/>
      <c r="U348" s="7"/>
      <c r="V348" s="7"/>
      <c r="W348" s="7"/>
      <c r="X348" s="7"/>
      <c r="Y348" s="7"/>
      <c r="Z348" s="7"/>
      <c r="AA348" s="7"/>
    </row>
    <row r="349">
      <c r="A349" s="242"/>
      <c r="B349" s="242"/>
      <c r="C349" s="177"/>
      <c r="D349" s="177"/>
      <c r="E349" s="177"/>
      <c r="F349" s="177"/>
      <c r="G349" s="177"/>
      <c r="H349" s="148"/>
      <c r="I349" s="7"/>
      <c r="J349" s="7"/>
      <c r="K349" s="7"/>
      <c r="L349" s="7"/>
      <c r="M349" s="7"/>
      <c r="N349" s="7"/>
      <c r="O349" s="7"/>
      <c r="P349" s="7"/>
      <c r="Q349" s="7"/>
      <c r="R349" s="7"/>
      <c r="S349" s="7"/>
      <c r="T349" s="7"/>
      <c r="U349" s="7"/>
      <c r="V349" s="7"/>
      <c r="W349" s="7"/>
      <c r="X349" s="7"/>
      <c r="Y349" s="7"/>
      <c r="Z349" s="7"/>
      <c r="AA349" s="7"/>
    </row>
    <row r="350">
      <c r="A350" s="242"/>
      <c r="B350" s="242"/>
      <c r="C350" s="177"/>
      <c r="D350" s="177"/>
      <c r="E350" s="177"/>
      <c r="F350" s="177"/>
      <c r="G350" s="177"/>
      <c r="H350" s="148"/>
      <c r="I350" s="7"/>
      <c r="J350" s="7"/>
      <c r="K350" s="7"/>
      <c r="L350" s="7"/>
      <c r="M350" s="7"/>
      <c r="N350" s="7"/>
      <c r="O350" s="7"/>
      <c r="P350" s="7"/>
      <c r="Q350" s="7"/>
      <c r="R350" s="7"/>
      <c r="S350" s="7"/>
      <c r="T350" s="7"/>
      <c r="U350" s="7"/>
      <c r="V350" s="7"/>
      <c r="W350" s="7"/>
      <c r="X350" s="7"/>
      <c r="Y350" s="7"/>
      <c r="Z350" s="7"/>
      <c r="AA350" s="7"/>
    </row>
    <row r="351">
      <c r="A351" s="242"/>
      <c r="B351" s="242"/>
      <c r="C351" s="177"/>
      <c r="D351" s="177"/>
      <c r="E351" s="177"/>
      <c r="F351" s="177"/>
      <c r="G351" s="177"/>
      <c r="H351" s="148"/>
      <c r="I351" s="7"/>
      <c r="J351" s="7"/>
      <c r="K351" s="7"/>
      <c r="L351" s="7"/>
      <c r="M351" s="7"/>
      <c r="N351" s="7"/>
      <c r="O351" s="7"/>
      <c r="P351" s="7"/>
      <c r="Q351" s="7"/>
      <c r="R351" s="7"/>
      <c r="S351" s="7"/>
      <c r="T351" s="7"/>
      <c r="U351" s="7"/>
      <c r="V351" s="7"/>
      <c r="W351" s="7"/>
      <c r="X351" s="7"/>
      <c r="Y351" s="7"/>
      <c r="Z351" s="7"/>
      <c r="AA351" s="7"/>
    </row>
    <row r="352">
      <c r="A352" s="242"/>
      <c r="B352" s="242"/>
      <c r="C352" s="177"/>
      <c r="D352" s="177"/>
      <c r="E352" s="177"/>
      <c r="F352" s="177"/>
      <c r="G352" s="177"/>
      <c r="H352" s="148"/>
      <c r="I352" s="7"/>
      <c r="J352" s="7"/>
      <c r="K352" s="7"/>
      <c r="L352" s="7"/>
      <c r="M352" s="7"/>
      <c r="N352" s="7"/>
      <c r="O352" s="7"/>
      <c r="P352" s="7"/>
      <c r="Q352" s="7"/>
      <c r="R352" s="7"/>
      <c r="S352" s="7"/>
      <c r="T352" s="7"/>
      <c r="U352" s="7"/>
      <c r="V352" s="7"/>
      <c r="W352" s="7"/>
      <c r="X352" s="7"/>
      <c r="Y352" s="7"/>
      <c r="Z352" s="7"/>
      <c r="AA352" s="7"/>
    </row>
    <row r="353">
      <c r="A353" s="242"/>
      <c r="B353" s="242"/>
      <c r="C353" s="177"/>
      <c r="D353" s="177"/>
      <c r="E353" s="177"/>
      <c r="F353" s="177"/>
      <c r="G353" s="177"/>
      <c r="H353" s="148"/>
      <c r="I353" s="7"/>
      <c r="J353" s="7"/>
      <c r="K353" s="7"/>
      <c r="L353" s="7"/>
      <c r="M353" s="7"/>
      <c r="N353" s="7"/>
      <c r="O353" s="7"/>
      <c r="P353" s="7"/>
      <c r="Q353" s="7"/>
      <c r="R353" s="7"/>
      <c r="S353" s="7"/>
      <c r="T353" s="7"/>
      <c r="U353" s="7"/>
      <c r="V353" s="7"/>
      <c r="W353" s="7"/>
      <c r="X353" s="7"/>
      <c r="Y353" s="7"/>
      <c r="Z353" s="7"/>
      <c r="AA353" s="7"/>
    </row>
    <row r="354">
      <c r="A354" s="242"/>
      <c r="B354" s="242"/>
      <c r="C354" s="177"/>
      <c r="D354" s="177"/>
      <c r="E354" s="177"/>
      <c r="F354" s="177"/>
      <c r="G354" s="177"/>
      <c r="H354" s="148"/>
      <c r="I354" s="7"/>
      <c r="J354" s="7"/>
      <c r="K354" s="7"/>
      <c r="L354" s="7"/>
      <c r="M354" s="7"/>
      <c r="N354" s="7"/>
      <c r="O354" s="7"/>
      <c r="P354" s="7"/>
      <c r="Q354" s="7"/>
      <c r="R354" s="7"/>
      <c r="S354" s="7"/>
      <c r="T354" s="7"/>
      <c r="U354" s="7"/>
      <c r="V354" s="7"/>
      <c r="W354" s="7"/>
      <c r="X354" s="7"/>
      <c r="Y354" s="7"/>
      <c r="Z354" s="7"/>
      <c r="AA354" s="7"/>
    </row>
    <row r="355">
      <c r="A355" s="242"/>
      <c r="B355" s="242"/>
      <c r="C355" s="177"/>
      <c r="D355" s="177"/>
      <c r="E355" s="177"/>
      <c r="F355" s="177"/>
      <c r="G355" s="177"/>
      <c r="H355" s="148"/>
      <c r="I355" s="7"/>
      <c r="J355" s="7"/>
      <c r="K355" s="7"/>
      <c r="L355" s="7"/>
      <c r="M355" s="7"/>
      <c r="N355" s="7"/>
      <c r="O355" s="7"/>
      <c r="P355" s="7"/>
      <c r="Q355" s="7"/>
      <c r="R355" s="7"/>
      <c r="S355" s="7"/>
      <c r="T355" s="7"/>
      <c r="U355" s="7"/>
      <c r="V355" s="7"/>
      <c r="W355" s="7"/>
      <c r="X355" s="7"/>
      <c r="Y355" s="7"/>
      <c r="Z355" s="7"/>
      <c r="AA355" s="7"/>
    </row>
    <row r="356">
      <c r="A356" s="242"/>
      <c r="B356" s="242"/>
      <c r="C356" s="177"/>
      <c r="D356" s="177"/>
      <c r="E356" s="177"/>
      <c r="F356" s="177"/>
      <c r="G356" s="177"/>
      <c r="H356" s="148"/>
      <c r="I356" s="7"/>
      <c r="J356" s="7"/>
      <c r="K356" s="7"/>
      <c r="L356" s="7"/>
      <c r="M356" s="7"/>
      <c r="N356" s="7"/>
      <c r="O356" s="7"/>
      <c r="P356" s="7"/>
      <c r="Q356" s="7"/>
      <c r="R356" s="7"/>
      <c r="S356" s="7"/>
      <c r="T356" s="7"/>
      <c r="U356" s="7"/>
      <c r="V356" s="7"/>
      <c r="W356" s="7"/>
      <c r="X356" s="7"/>
      <c r="Y356" s="7"/>
      <c r="Z356" s="7"/>
      <c r="AA356" s="7"/>
    </row>
    <row r="357">
      <c r="A357" s="242"/>
      <c r="B357" s="242"/>
      <c r="C357" s="177"/>
      <c r="D357" s="177"/>
      <c r="E357" s="177"/>
      <c r="F357" s="177"/>
      <c r="G357" s="177"/>
      <c r="H357" s="148"/>
      <c r="I357" s="7"/>
      <c r="J357" s="7"/>
      <c r="K357" s="7"/>
      <c r="L357" s="7"/>
      <c r="M357" s="7"/>
      <c r="N357" s="7"/>
      <c r="O357" s="7"/>
      <c r="P357" s="7"/>
      <c r="Q357" s="7"/>
      <c r="R357" s="7"/>
      <c r="S357" s="7"/>
      <c r="T357" s="7"/>
      <c r="U357" s="7"/>
      <c r="V357" s="7"/>
      <c r="W357" s="7"/>
      <c r="X357" s="7"/>
      <c r="Y357" s="7"/>
      <c r="Z357" s="7"/>
      <c r="AA357" s="7"/>
    </row>
    <row r="358">
      <c r="A358" s="242"/>
      <c r="B358" s="242"/>
      <c r="C358" s="177"/>
      <c r="D358" s="177"/>
      <c r="E358" s="177"/>
      <c r="F358" s="177"/>
      <c r="G358" s="177"/>
      <c r="H358" s="148"/>
      <c r="I358" s="7"/>
      <c r="J358" s="7"/>
      <c r="K358" s="7"/>
      <c r="L358" s="7"/>
      <c r="M358" s="7"/>
      <c r="N358" s="7"/>
      <c r="O358" s="7"/>
      <c r="P358" s="7"/>
      <c r="Q358" s="7"/>
      <c r="R358" s="7"/>
      <c r="S358" s="7"/>
      <c r="T358" s="7"/>
      <c r="U358" s="7"/>
      <c r="V358" s="7"/>
      <c r="W358" s="7"/>
      <c r="X358" s="7"/>
      <c r="Y358" s="7"/>
      <c r="Z358" s="7"/>
      <c r="AA358" s="7"/>
    </row>
    <row r="359">
      <c r="A359" s="242"/>
      <c r="B359" s="242"/>
      <c r="C359" s="177"/>
      <c r="D359" s="177"/>
      <c r="E359" s="177"/>
      <c r="F359" s="177"/>
      <c r="G359" s="177"/>
      <c r="H359" s="148"/>
      <c r="I359" s="7"/>
      <c r="J359" s="7"/>
      <c r="K359" s="7"/>
      <c r="L359" s="7"/>
      <c r="M359" s="7"/>
      <c r="N359" s="7"/>
      <c r="O359" s="7"/>
      <c r="P359" s="7"/>
      <c r="Q359" s="7"/>
      <c r="R359" s="7"/>
      <c r="S359" s="7"/>
      <c r="T359" s="7"/>
      <c r="U359" s="7"/>
      <c r="V359" s="7"/>
      <c r="W359" s="7"/>
      <c r="X359" s="7"/>
      <c r="Y359" s="7"/>
      <c r="Z359" s="7"/>
      <c r="AA359" s="7"/>
    </row>
    <row r="360">
      <c r="A360" s="242"/>
      <c r="B360" s="242"/>
      <c r="C360" s="177"/>
      <c r="D360" s="177"/>
      <c r="E360" s="177"/>
      <c r="F360" s="177"/>
      <c r="G360" s="177"/>
      <c r="H360" s="148"/>
      <c r="I360" s="7"/>
      <c r="J360" s="7"/>
      <c r="K360" s="7"/>
      <c r="L360" s="7"/>
      <c r="M360" s="7"/>
      <c r="N360" s="7"/>
      <c r="O360" s="7"/>
      <c r="P360" s="7"/>
      <c r="Q360" s="7"/>
      <c r="R360" s="7"/>
      <c r="S360" s="7"/>
      <c r="T360" s="7"/>
      <c r="U360" s="7"/>
      <c r="V360" s="7"/>
      <c r="W360" s="7"/>
      <c r="X360" s="7"/>
      <c r="Y360" s="7"/>
      <c r="Z360" s="7"/>
      <c r="AA360" s="7"/>
    </row>
    <row r="361">
      <c r="A361" s="242"/>
      <c r="B361" s="242"/>
      <c r="C361" s="177"/>
      <c r="D361" s="177"/>
      <c r="E361" s="177"/>
      <c r="F361" s="177"/>
      <c r="G361" s="177"/>
      <c r="H361" s="148"/>
      <c r="I361" s="7"/>
      <c r="J361" s="7"/>
      <c r="K361" s="7"/>
      <c r="L361" s="7"/>
      <c r="M361" s="7"/>
      <c r="N361" s="7"/>
      <c r="O361" s="7"/>
      <c r="P361" s="7"/>
      <c r="Q361" s="7"/>
      <c r="R361" s="7"/>
      <c r="S361" s="7"/>
      <c r="T361" s="7"/>
      <c r="U361" s="7"/>
      <c r="V361" s="7"/>
      <c r="W361" s="7"/>
      <c r="X361" s="7"/>
      <c r="Y361" s="7"/>
      <c r="Z361" s="7"/>
      <c r="AA361" s="7"/>
    </row>
    <row r="362">
      <c r="A362" s="242"/>
      <c r="B362" s="242"/>
      <c r="C362" s="177"/>
      <c r="D362" s="177"/>
      <c r="E362" s="177"/>
      <c r="F362" s="177"/>
      <c r="G362" s="177"/>
      <c r="H362" s="148"/>
      <c r="I362" s="7"/>
      <c r="J362" s="7"/>
      <c r="K362" s="7"/>
      <c r="L362" s="7"/>
      <c r="M362" s="7"/>
      <c r="N362" s="7"/>
      <c r="O362" s="7"/>
      <c r="P362" s="7"/>
      <c r="Q362" s="7"/>
      <c r="R362" s="7"/>
      <c r="S362" s="7"/>
      <c r="T362" s="7"/>
      <c r="U362" s="7"/>
      <c r="V362" s="7"/>
      <c r="W362" s="7"/>
      <c r="X362" s="7"/>
      <c r="Y362" s="7"/>
      <c r="Z362" s="7"/>
      <c r="AA362" s="7"/>
    </row>
    <row r="363">
      <c r="A363" s="242"/>
      <c r="B363" s="242"/>
      <c r="C363" s="177"/>
      <c r="D363" s="177"/>
      <c r="E363" s="177"/>
      <c r="F363" s="177"/>
      <c r="G363" s="177"/>
      <c r="H363" s="148"/>
      <c r="I363" s="7"/>
      <c r="J363" s="7"/>
      <c r="K363" s="7"/>
      <c r="L363" s="7"/>
      <c r="M363" s="7"/>
      <c r="N363" s="7"/>
      <c r="O363" s="7"/>
      <c r="P363" s="7"/>
      <c r="Q363" s="7"/>
      <c r="R363" s="7"/>
      <c r="S363" s="7"/>
      <c r="T363" s="7"/>
      <c r="U363" s="7"/>
      <c r="V363" s="7"/>
      <c r="W363" s="7"/>
      <c r="X363" s="7"/>
      <c r="Y363" s="7"/>
      <c r="Z363" s="7"/>
      <c r="AA363" s="7"/>
    </row>
    <row r="364">
      <c r="A364" s="242"/>
      <c r="B364" s="242"/>
      <c r="C364" s="177"/>
      <c r="D364" s="177"/>
      <c r="E364" s="177"/>
      <c r="F364" s="177"/>
      <c r="G364" s="177"/>
      <c r="H364" s="148"/>
      <c r="I364" s="7"/>
      <c r="J364" s="7"/>
      <c r="K364" s="7"/>
      <c r="L364" s="7"/>
      <c r="M364" s="7"/>
      <c r="N364" s="7"/>
      <c r="O364" s="7"/>
      <c r="P364" s="7"/>
      <c r="Q364" s="7"/>
      <c r="R364" s="7"/>
      <c r="S364" s="7"/>
      <c r="T364" s="7"/>
      <c r="U364" s="7"/>
      <c r="V364" s="7"/>
      <c r="W364" s="7"/>
      <c r="X364" s="7"/>
      <c r="Y364" s="7"/>
      <c r="Z364" s="7"/>
      <c r="AA364" s="7"/>
    </row>
    <row r="365">
      <c r="A365" s="242"/>
      <c r="B365" s="242"/>
      <c r="C365" s="177"/>
      <c r="D365" s="177"/>
      <c r="E365" s="177"/>
      <c r="F365" s="177"/>
      <c r="G365" s="177"/>
      <c r="H365" s="148"/>
      <c r="I365" s="7"/>
      <c r="J365" s="7"/>
      <c r="K365" s="7"/>
      <c r="L365" s="7"/>
      <c r="M365" s="7"/>
      <c r="N365" s="7"/>
      <c r="O365" s="7"/>
      <c r="P365" s="7"/>
      <c r="Q365" s="7"/>
      <c r="R365" s="7"/>
      <c r="S365" s="7"/>
      <c r="T365" s="7"/>
      <c r="U365" s="7"/>
      <c r="V365" s="7"/>
      <c r="W365" s="7"/>
      <c r="X365" s="7"/>
      <c r="Y365" s="7"/>
      <c r="Z365" s="7"/>
      <c r="AA365" s="7"/>
    </row>
    <row r="366">
      <c r="A366" s="242"/>
      <c r="B366" s="242"/>
      <c r="C366" s="177"/>
      <c r="D366" s="177"/>
      <c r="E366" s="177"/>
      <c r="F366" s="177"/>
      <c r="G366" s="177"/>
      <c r="H366" s="148"/>
      <c r="I366" s="7"/>
      <c r="J366" s="7"/>
      <c r="K366" s="7"/>
      <c r="L366" s="7"/>
      <c r="M366" s="7"/>
      <c r="N366" s="7"/>
      <c r="O366" s="7"/>
      <c r="P366" s="7"/>
      <c r="Q366" s="7"/>
      <c r="R366" s="7"/>
      <c r="S366" s="7"/>
      <c r="T366" s="7"/>
      <c r="U366" s="7"/>
      <c r="V366" s="7"/>
      <c r="W366" s="7"/>
      <c r="X366" s="7"/>
      <c r="Y366" s="7"/>
      <c r="Z366" s="7"/>
      <c r="AA366" s="7"/>
    </row>
    <row r="367">
      <c r="A367" s="242"/>
      <c r="B367" s="242"/>
      <c r="C367" s="177"/>
      <c r="D367" s="177"/>
      <c r="E367" s="177"/>
      <c r="F367" s="177"/>
      <c r="G367" s="177"/>
      <c r="H367" s="148"/>
      <c r="I367" s="7"/>
      <c r="J367" s="7"/>
      <c r="K367" s="7"/>
      <c r="L367" s="7"/>
      <c r="M367" s="7"/>
      <c r="N367" s="7"/>
      <c r="O367" s="7"/>
      <c r="P367" s="7"/>
      <c r="Q367" s="7"/>
      <c r="R367" s="7"/>
      <c r="S367" s="7"/>
      <c r="T367" s="7"/>
      <c r="U367" s="7"/>
      <c r="V367" s="7"/>
      <c r="W367" s="7"/>
      <c r="X367" s="7"/>
      <c r="Y367" s="7"/>
      <c r="Z367" s="7"/>
      <c r="AA367" s="7"/>
    </row>
    <row r="368">
      <c r="A368" s="242"/>
      <c r="B368" s="242"/>
      <c r="C368" s="177"/>
      <c r="D368" s="177"/>
      <c r="E368" s="177"/>
      <c r="F368" s="177"/>
      <c r="G368" s="177"/>
      <c r="H368" s="148"/>
      <c r="I368" s="7"/>
      <c r="J368" s="7"/>
      <c r="K368" s="7"/>
      <c r="L368" s="7"/>
      <c r="M368" s="7"/>
      <c r="N368" s="7"/>
      <c r="O368" s="7"/>
      <c r="P368" s="7"/>
      <c r="Q368" s="7"/>
      <c r="R368" s="7"/>
      <c r="S368" s="7"/>
      <c r="T368" s="7"/>
      <c r="U368" s="7"/>
      <c r="V368" s="7"/>
      <c r="W368" s="7"/>
      <c r="X368" s="7"/>
      <c r="Y368" s="7"/>
      <c r="Z368" s="7"/>
      <c r="AA368" s="7"/>
    </row>
    <row r="369">
      <c r="A369" s="242"/>
      <c r="B369" s="242"/>
      <c r="C369" s="177"/>
      <c r="D369" s="177"/>
      <c r="E369" s="177"/>
      <c r="F369" s="177"/>
      <c r="G369" s="177"/>
      <c r="H369" s="148"/>
      <c r="I369" s="7"/>
      <c r="J369" s="7"/>
      <c r="K369" s="7"/>
      <c r="L369" s="7"/>
      <c r="M369" s="7"/>
      <c r="N369" s="7"/>
      <c r="O369" s="7"/>
      <c r="P369" s="7"/>
      <c r="Q369" s="7"/>
      <c r="R369" s="7"/>
      <c r="S369" s="7"/>
      <c r="T369" s="7"/>
      <c r="U369" s="7"/>
      <c r="V369" s="7"/>
      <c r="W369" s="7"/>
      <c r="X369" s="7"/>
      <c r="Y369" s="7"/>
      <c r="Z369" s="7"/>
      <c r="AA369" s="7"/>
    </row>
    <row r="370">
      <c r="A370" s="242"/>
      <c r="B370" s="242"/>
      <c r="C370" s="177"/>
      <c r="D370" s="177"/>
      <c r="E370" s="177"/>
      <c r="F370" s="177"/>
      <c r="G370" s="177"/>
      <c r="H370" s="148"/>
      <c r="I370" s="7"/>
      <c r="J370" s="7"/>
      <c r="K370" s="7"/>
      <c r="L370" s="7"/>
      <c r="M370" s="7"/>
      <c r="N370" s="7"/>
      <c r="O370" s="7"/>
      <c r="P370" s="7"/>
      <c r="Q370" s="7"/>
      <c r="R370" s="7"/>
      <c r="S370" s="7"/>
      <c r="T370" s="7"/>
      <c r="U370" s="7"/>
      <c r="V370" s="7"/>
      <c r="W370" s="7"/>
      <c r="X370" s="7"/>
      <c r="Y370" s="7"/>
      <c r="Z370" s="7"/>
      <c r="AA370" s="7"/>
    </row>
    <row r="371">
      <c r="A371" s="242"/>
      <c r="B371" s="242"/>
      <c r="C371" s="177"/>
      <c r="D371" s="177"/>
      <c r="E371" s="177"/>
      <c r="F371" s="177"/>
      <c r="G371" s="177"/>
      <c r="H371" s="148"/>
      <c r="I371" s="7"/>
      <c r="J371" s="7"/>
      <c r="K371" s="7"/>
      <c r="L371" s="7"/>
      <c r="M371" s="7"/>
      <c r="N371" s="7"/>
      <c r="O371" s="7"/>
      <c r="P371" s="7"/>
      <c r="Q371" s="7"/>
      <c r="R371" s="7"/>
      <c r="S371" s="7"/>
      <c r="T371" s="7"/>
      <c r="U371" s="7"/>
      <c r="V371" s="7"/>
      <c r="W371" s="7"/>
      <c r="X371" s="7"/>
      <c r="Y371" s="7"/>
      <c r="Z371" s="7"/>
      <c r="AA371" s="7"/>
    </row>
    <row r="372">
      <c r="A372" s="242"/>
      <c r="B372" s="242"/>
      <c r="C372" s="177"/>
      <c r="D372" s="177"/>
      <c r="E372" s="177"/>
      <c r="F372" s="177"/>
      <c r="G372" s="177"/>
      <c r="H372" s="148"/>
      <c r="I372" s="7"/>
      <c r="J372" s="7"/>
      <c r="K372" s="7"/>
      <c r="L372" s="7"/>
      <c r="M372" s="7"/>
      <c r="N372" s="7"/>
      <c r="O372" s="7"/>
      <c r="P372" s="7"/>
      <c r="Q372" s="7"/>
      <c r="R372" s="7"/>
      <c r="S372" s="7"/>
      <c r="T372" s="7"/>
      <c r="U372" s="7"/>
      <c r="V372" s="7"/>
      <c r="W372" s="7"/>
      <c r="X372" s="7"/>
      <c r="Y372" s="7"/>
      <c r="Z372" s="7"/>
      <c r="AA372" s="7"/>
    </row>
    <row r="373">
      <c r="A373" s="242"/>
      <c r="B373" s="242"/>
      <c r="C373" s="177"/>
      <c r="D373" s="177"/>
      <c r="E373" s="177"/>
      <c r="F373" s="177"/>
      <c r="G373" s="177"/>
      <c r="H373" s="148"/>
      <c r="I373" s="7"/>
      <c r="J373" s="7"/>
      <c r="K373" s="7"/>
      <c r="L373" s="7"/>
      <c r="M373" s="7"/>
      <c r="N373" s="7"/>
      <c r="O373" s="7"/>
      <c r="P373" s="7"/>
      <c r="Q373" s="7"/>
      <c r="R373" s="7"/>
      <c r="S373" s="7"/>
      <c r="T373" s="7"/>
      <c r="U373" s="7"/>
      <c r="V373" s="7"/>
      <c r="W373" s="7"/>
      <c r="X373" s="7"/>
      <c r="Y373" s="7"/>
      <c r="Z373" s="7"/>
      <c r="AA373" s="7"/>
    </row>
    <row r="374">
      <c r="A374" s="242"/>
      <c r="B374" s="242"/>
      <c r="C374" s="177"/>
      <c r="D374" s="177"/>
      <c r="E374" s="177"/>
      <c r="F374" s="177"/>
      <c r="G374" s="177"/>
      <c r="H374" s="148"/>
      <c r="I374" s="7"/>
      <c r="J374" s="7"/>
      <c r="K374" s="7"/>
      <c r="L374" s="7"/>
      <c r="M374" s="7"/>
      <c r="N374" s="7"/>
      <c r="O374" s="7"/>
      <c r="P374" s="7"/>
      <c r="Q374" s="7"/>
      <c r="R374" s="7"/>
      <c r="S374" s="7"/>
      <c r="T374" s="7"/>
      <c r="U374" s="7"/>
      <c r="V374" s="7"/>
      <c r="W374" s="7"/>
      <c r="X374" s="7"/>
      <c r="Y374" s="7"/>
      <c r="Z374" s="7"/>
      <c r="AA374" s="7"/>
    </row>
    <row r="375">
      <c r="A375" s="242"/>
      <c r="B375" s="242"/>
      <c r="C375" s="177"/>
      <c r="D375" s="177"/>
      <c r="E375" s="177"/>
      <c r="F375" s="177"/>
      <c r="G375" s="177"/>
      <c r="H375" s="148"/>
      <c r="I375" s="7"/>
      <c r="J375" s="7"/>
      <c r="K375" s="7"/>
      <c r="L375" s="7"/>
      <c r="M375" s="7"/>
      <c r="N375" s="7"/>
      <c r="O375" s="7"/>
      <c r="P375" s="7"/>
      <c r="Q375" s="7"/>
      <c r="R375" s="7"/>
      <c r="S375" s="7"/>
      <c r="T375" s="7"/>
      <c r="U375" s="7"/>
      <c r="V375" s="7"/>
      <c r="W375" s="7"/>
      <c r="X375" s="7"/>
      <c r="Y375" s="7"/>
      <c r="Z375" s="7"/>
      <c r="AA375" s="7"/>
    </row>
    <row r="376">
      <c r="A376" s="242"/>
      <c r="B376" s="242"/>
      <c r="C376" s="177"/>
      <c r="D376" s="177"/>
      <c r="E376" s="177"/>
      <c r="F376" s="177"/>
      <c r="G376" s="177"/>
      <c r="H376" s="148"/>
      <c r="I376" s="7"/>
      <c r="J376" s="7"/>
      <c r="K376" s="7"/>
      <c r="L376" s="7"/>
      <c r="M376" s="7"/>
      <c r="N376" s="7"/>
      <c r="O376" s="7"/>
      <c r="P376" s="7"/>
      <c r="Q376" s="7"/>
      <c r="R376" s="7"/>
      <c r="S376" s="7"/>
      <c r="T376" s="7"/>
      <c r="U376" s="7"/>
      <c r="V376" s="7"/>
      <c r="W376" s="7"/>
      <c r="X376" s="7"/>
      <c r="Y376" s="7"/>
      <c r="Z376" s="7"/>
      <c r="AA376" s="7"/>
    </row>
    <row r="377">
      <c r="A377" s="242"/>
      <c r="B377" s="242"/>
      <c r="C377" s="177"/>
      <c r="D377" s="177"/>
      <c r="E377" s="177"/>
      <c r="F377" s="177"/>
      <c r="G377" s="177"/>
      <c r="H377" s="148"/>
      <c r="I377" s="7"/>
      <c r="J377" s="7"/>
      <c r="K377" s="7"/>
      <c r="L377" s="7"/>
      <c r="M377" s="7"/>
      <c r="N377" s="7"/>
      <c r="O377" s="7"/>
      <c r="P377" s="7"/>
      <c r="Q377" s="7"/>
      <c r="R377" s="7"/>
      <c r="S377" s="7"/>
      <c r="T377" s="7"/>
      <c r="U377" s="7"/>
      <c r="V377" s="7"/>
      <c r="W377" s="7"/>
      <c r="X377" s="7"/>
      <c r="Y377" s="7"/>
      <c r="Z377" s="7"/>
      <c r="AA377" s="7"/>
    </row>
    <row r="378">
      <c r="A378" s="242"/>
      <c r="B378" s="242"/>
      <c r="C378" s="177"/>
      <c r="D378" s="177"/>
      <c r="E378" s="177"/>
      <c r="F378" s="177"/>
      <c r="G378" s="177"/>
      <c r="H378" s="148"/>
      <c r="I378" s="7"/>
      <c r="J378" s="7"/>
      <c r="K378" s="7"/>
      <c r="L378" s="7"/>
      <c r="M378" s="7"/>
      <c r="N378" s="7"/>
      <c r="O378" s="7"/>
      <c r="P378" s="7"/>
      <c r="Q378" s="7"/>
      <c r="R378" s="7"/>
      <c r="S378" s="7"/>
      <c r="T378" s="7"/>
      <c r="U378" s="7"/>
      <c r="V378" s="7"/>
      <c r="W378" s="7"/>
      <c r="X378" s="7"/>
      <c r="Y378" s="7"/>
      <c r="Z378" s="7"/>
      <c r="AA378" s="7"/>
    </row>
    <row r="379">
      <c r="A379" s="242"/>
      <c r="B379" s="242"/>
      <c r="C379" s="177"/>
      <c r="D379" s="177"/>
      <c r="E379" s="177"/>
      <c r="F379" s="177"/>
      <c r="G379" s="177"/>
      <c r="H379" s="148"/>
      <c r="I379" s="7"/>
      <c r="J379" s="7"/>
      <c r="K379" s="7"/>
      <c r="L379" s="7"/>
      <c r="M379" s="7"/>
      <c r="N379" s="7"/>
      <c r="O379" s="7"/>
      <c r="P379" s="7"/>
      <c r="Q379" s="7"/>
      <c r="R379" s="7"/>
      <c r="S379" s="7"/>
      <c r="T379" s="7"/>
      <c r="U379" s="7"/>
      <c r="V379" s="7"/>
      <c r="W379" s="7"/>
      <c r="X379" s="7"/>
      <c r="Y379" s="7"/>
      <c r="Z379" s="7"/>
      <c r="AA379" s="7"/>
    </row>
    <row r="380">
      <c r="A380" s="242"/>
      <c r="B380" s="242"/>
      <c r="C380" s="177"/>
      <c r="D380" s="177"/>
      <c r="E380" s="177"/>
      <c r="F380" s="177"/>
      <c r="G380" s="177"/>
      <c r="H380" s="148"/>
      <c r="I380" s="7"/>
      <c r="J380" s="7"/>
      <c r="K380" s="7"/>
      <c r="L380" s="7"/>
      <c r="M380" s="7"/>
      <c r="N380" s="7"/>
      <c r="O380" s="7"/>
      <c r="P380" s="7"/>
      <c r="Q380" s="7"/>
      <c r="R380" s="7"/>
      <c r="S380" s="7"/>
      <c r="T380" s="7"/>
      <c r="U380" s="7"/>
      <c r="V380" s="7"/>
      <c r="W380" s="7"/>
      <c r="X380" s="7"/>
      <c r="Y380" s="7"/>
      <c r="Z380" s="7"/>
      <c r="AA380" s="7"/>
    </row>
    <row r="381">
      <c r="A381" s="242"/>
      <c r="B381" s="242"/>
      <c r="C381" s="177"/>
      <c r="D381" s="177"/>
      <c r="E381" s="177"/>
      <c r="F381" s="177"/>
      <c r="G381" s="177"/>
      <c r="H381" s="148"/>
      <c r="I381" s="7"/>
      <c r="J381" s="7"/>
      <c r="K381" s="7"/>
      <c r="L381" s="7"/>
      <c r="M381" s="7"/>
      <c r="N381" s="7"/>
      <c r="O381" s="7"/>
      <c r="P381" s="7"/>
      <c r="Q381" s="7"/>
      <c r="R381" s="7"/>
      <c r="S381" s="7"/>
      <c r="T381" s="7"/>
      <c r="U381" s="7"/>
      <c r="V381" s="7"/>
      <c r="W381" s="7"/>
      <c r="X381" s="7"/>
      <c r="Y381" s="7"/>
      <c r="Z381" s="7"/>
      <c r="AA381" s="7"/>
    </row>
    <row r="382">
      <c r="A382" s="242"/>
      <c r="B382" s="242"/>
      <c r="C382" s="177"/>
      <c r="D382" s="177"/>
      <c r="E382" s="177"/>
      <c r="F382" s="177"/>
      <c r="G382" s="177"/>
      <c r="H382" s="148"/>
      <c r="I382" s="7"/>
      <c r="J382" s="7"/>
      <c r="K382" s="7"/>
      <c r="L382" s="7"/>
      <c r="M382" s="7"/>
      <c r="N382" s="7"/>
      <c r="O382" s="7"/>
      <c r="P382" s="7"/>
      <c r="Q382" s="7"/>
      <c r="R382" s="7"/>
      <c r="S382" s="7"/>
      <c r="T382" s="7"/>
      <c r="U382" s="7"/>
      <c r="V382" s="7"/>
      <c r="W382" s="7"/>
      <c r="X382" s="7"/>
      <c r="Y382" s="7"/>
      <c r="Z382" s="7"/>
      <c r="AA382" s="7"/>
    </row>
    <row r="383">
      <c r="A383" s="242"/>
      <c r="B383" s="242"/>
      <c r="C383" s="177"/>
      <c r="D383" s="177"/>
      <c r="E383" s="177"/>
      <c r="F383" s="177"/>
      <c r="G383" s="177"/>
      <c r="H383" s="148"/>
      <c r="I383" s="7"/>
      <c r="J383" s="7"/>
      <c r="K383" s="7"/>
      <c r="L383" s="7"/>
      <c r="M383" s="7"/>
      <c r="N383" s="7"/>
      <c r="O383" s="7"/>
      <c r="P383" s="7"/>
      <c r="Q383" s="7"/>
      <c r="R383" s="7"/>
      <c r="S383" s="7"/>
      <c r="T383" s="7"/>
      <c r="U383" s="7"/>
      <c r="V383" s="7"/>
      <c r="W383" s="7"/>
      <c r="X383" s="7"/>
      <c r="Y383" s="7"/>
      <c r="Z383" s="7"/>
      <c r="AA383" s="7"/>
    </row>
    <row r="384">
      <c r="A384" s="242"/>
      <c r="B384" s="242"/>
      <c r="C384" s="177"/>
      <c r="D384" s="177"/>
      <c r="E384" s="177"/>
      <c r="F384" s="177"/>
      <c r="G384" s="177"/>
      <c r="H384" s="148"/>
      <c r="I384" s="7"/>
      <c r="J384" s="7"/>
      <c r="K384" s="7"/>
      <c r="L384" s="7"/>
      <c r="M384" s="7"/>
      <c r="N384" s="7"/>
      <c r="O384" s="7"/>
      <c r="P384" s="7"/>
      <c r="Q384" s="7"/>
      <c r="R384" s="7"/>
      <c r="S384" s="7"/>
      <c r="T384" s="7"/>
      <c r="U384" s="7"/>
      <c r="V384" s="7"/>
      <c r="W384" s="7"/>
      <c r="X384" s="7"/>
      <c r="Y384" s="7"/>
      <c r="Z384" s="7"/>
      <c r="AA384" s="7"/>
    </row>
    <row r="385">
      <c r="A385" s="242"/>
      <c r="B385" s="242"/>
      <c r="C385" s="177"/>
      <c r="D385" s="177"/>
      <c r="E385" s="177"/>
      <c r="F385" s="177"/>
      <c r="G385" s="177"/>
      <c r="H385" s="148"/>
      <c r="I385" s="7"/>
      <c r="J385" s="7"/>
      <c r="K385" s="7"/>
      <c r="L385" s="7"/>
      <c r="M385" s="7"/>
      <c r="N385" s="7"/>
      <c r="O385" s="7"/>
      <c r="P385" s="7"/>
      <c r="Q385" s="7"/>
      <c r="R385" s="7"/>
      <c r="S385" s="7"/>
      <c r="T385" s="7"/>
      <c r="U385" s="7"/>
      <c r="V385" s="7"/>
      <c r="W385" s="7"/>
      <c r="X385" s="7"/>
      <c r="Y385" s="7"/>
      <c r="Z385" s="7"/>
      <c r="AA385" s="7"/>
    </row>
    <row r="386">
      <c r="A386" s="242"/>
      <c r="B386" s="242"/>
      <c r="C386" s="177"/>
      <c r="D386" s="177"/>
      <c r="E386" s="177"/>
      <c r="F386" s="177"/>
      <c r="G386" s="177"/>
      <c r="H386" s="148"/>
      <c r="I386" s="7"/>
      <c r="J386" s="7"/>
      <c r="K386" s="7"/>
      <c r="L386" s="7"/>
      <c r="M386" s="7"/>
      <c r="N386" s="7"/>
      <c r="O386" s="7"/>
      <c r="P386" s="7"/>
      <c r="Q386" s="7"/>
      <c r="R386" s="7"/>
      <c r="S386" s="7"/>
      <c r="T386" s="7"/>
      <c r="U386" s="7"/>
      <c r="V386" s="7"/>
      <c r="W386" s="7"/>
      <c r="X386" s="7"/>
      <c r="Y386" s="7"/>
      <c r="Z386" s="7"/>
      <c r="AA386" s="7"/>
    </row>
    <row r="387">
      <c r="A387" s="242"/>
      <c r="B387" s="242"/>
      <c r="C387" s="177"/>
      <c r="D387" s="177"/>
      <c r="E387" s="177"/>
      <c r="F387" s="177"/>
      <c r="G387" s="177"/>
      <c r="H387" s="148"/>
      <c r="I387" s="7"/>
      <c r="J387" s="7"/>
      <c r="K387" s="7"/>
      <c r="L387" s="7"/>
      <c r="M387" s="7"/>
      <c r="N387" s="7"/>
      <c r="O387" s="7"/>
      <c r="P387" s="7"/>
      <c r="Q387" s="7"/>
      <c r="R387" s="7"/>
      <c r="S387" s="7"/>
      <c r="T387" s="7"/>
      <c r="U387" s="7"/>
      <c r="V387" s="7"/>
      <c r="W387" s="7"/>
      <c r="X387" s="7"/>
      <c r="Y387" s="7"/>
      <c r="Z387" s="7"/>
      <c r="AA387" s="7"/>
    </row>
    <row r="388">
      <c r="A388" s="242"/>
      <c r="B388" s="242"/>
      <c r="C388" s="177"/>
      <c r="D388" s="177"/>
      <c r="E388" s="177"/>
      <c r="F388" s="177"/>
      <c r="G388" s="177"/>
      <c r="H388" s="148"/>
      <c r="I388" s="7"/>
      <c r="J388" s="7"/>
      <c r="K388" s="7"/>
      <c r="L388" s="7"/>
      <c r="M388" s="7"/>
      <c r="N388" s="7"/>
      <c r="O388" s="7"/>
      <c r="P388" s="7"/>
      <c r="Q388" s="7"/>
      <c r="R388" s="7"/>
      <c r="S388" s="7"/>
      <c r="T388" s="7"/>
      <c r="U388" s="7"/>
      <c r="V388" s="7"/>
      <c r="W388" s="7"/>
      <c r="X388" s="7"/>
      <c r="Y388" s="7"/>
      <c r="Z388" s="7"/>
      <c r="AA388" s="7"/>
    </row>
    <row r="389">
      <c r="A389" s="242"/>
      <c r="B389" s="242"/>
      <c r="C389" s="177"/>
      <c r="D389" s="177"/>
      <c r="E389" s="177"/>
      <c r="F389" s="177"/>
      <c r="G389" s="177"/>
      <c r="H389" s="148"/>
      <c r="I389" s="7"/>
      <c r="J389" s="7"/>
      <c r="K389" s="7"/>
      <c r="L389" s="7"/>
      <c r="M389" s="7"/>
      <c r="N389" s="7"/>
      <c r="O389" s="7"/>
      <c r="P389" s="7"/>
      <c r="Q389" s="7"/>
      <c r="R389" s="7"/>
      <c r="S389" s="7"/>
      <c r="T389" s="7"/>
      <c r="U389" s="7"/>
      <c r="V389" s="7"/>
      <c r="W389" s="7"/>
      <c r="X389" s="7"/>
      <c r="Y389" s="7"/>
      <c r="Z389" s="7"/>
      <c r="AA389" s="7"/>
    </row>
    <row r="390">
      <c r="A390" s="242"/>
      <c r="B390" s="242"/>
      <c r="C390" s="177"/>
      <c r="D390" s="177"/>
      <c r="E390" s="177"/>
      <c r="F390" s="177"/>
      <c r="G390" s="177"/>
      <c r="H390" s="148"/>
      <c r="I390" s="7"/>
      <c r="J390" s="7"/>
      <c r="K390" s="7"/>
      <c r="L390" s="7"/>
      <c r="M390" s="7"/>
      <c r="N390" s="7"/>
      <c r="O390" s="7"/>
      <c r="P390" s="7"/>
      <c r="Q390" s="7"/>
      <c r="R390" s="7"/>
      <c r="S390" s="7"/>
      <c r="T390" s="7"/>
      <c r="U390" s="7"/>
      <c r="V390" s="7"/>
      <c r="W390" s="7"/>
      <c r="X390" s="7"/>
      <c r="Y390" s="7"/>
      <c r="Z390" s="7"/>
      <c r="AA390" s="7"/>
    </row>
    <row r="391">
      <c r="A391" s="242"/>
      <c r="B391" s="242"/>
      <c r="C391" s="177"/>
      <c r="D391" s="177"/>
      <c r="E391" s="177"/>
      <c r="F391" s="177"/>
      <c r="G391" s="177"/>
      <c r="H391" s="148"/>
      <c r="I391" s="7"/>
      <c r="J391" s="7"/>
      <c r="K391" s="7"/>
      <c r="L391" s="7"/>
      <c r="M391" s="7"/>
      <c r="N391" s="7"/>
      <c r="O391" s="7"/>
      <c r="P391" s="7"/>
      <c r="Q391" s="7"/>
      <c r="R391" s="7"/>
      <c r="S391" s="7"/>
      <c r="T391" s="7"/>
      <c r="U391" s="7"/>
      <c r="V391" s="7"/>
      <c r="W391" s="7"/>
      <c r="X391" s="7"/>
      <c r="Y391" s="7"/>
      <c r="Z391" s="7"/>
      <c r="AA391" s="7"/>
    </row>
    <row r="392">
      <c r="A392" s="242"/>
      <c r="B392" s="242"/>
      <c r="C392" s="177"/>
      <c r="D392" s="177"/>
      <c r="E392" s="177"/>
      <c r="F392" s="177"/>
      <c r="G392" s="177"/>
      <c r="H392" s="148"/>
      <c r="I392" s="7"/>
      <c r="J392" s="7"/>
      <c r="K392" s="7"/>
      <c r="L392" s="7"/>
      <c r="M392" s="7"/>
      <c r="N392" s="7"/>
      <c r="O392" s="7"/>
      <c r="P392" s="7"/>
      <c r="Q392" s="7"/>
      <c r="R392" s="7"/>
      <c r="S392" s="7"/>
      <c r="T392" s="7"/>
      <c r="U392" s="7"/>
      <c r="V392" s="7"/>
      <c r="W392" s="7"/>
      <c r="X392" s="7"/>
      <c r="Y392" s="7"/>
      <c r="Z392" s="7"/>
      <c r="AA392" s="7"/>
    </row>
    <row r="393">
      <c r="A393" s="242"/>
      <c r="B393" s="242"/>
      <c r="C393" s="177"/>
      <c r="D393" s="177"/>
      <c r="E393" s="177"/>
      <c r="F393" s="177"/>
      <c r="G393" s="177"/>
      <c r="H393" s="148"/>
      <c r="I393" s="7"/>
      <c r="J393" s="7"/>
      <c r="K393" s="7"/>
      <c r="L393" s="7"/>
      <c r="M393" s="7"/>
      <c r="N393" s="7"/>
      <c r="O393" s="7"/>
      <c r="P393" s="7"/>
      <c r="Q393" s="7"/>
      <c r="R393" s="7"/>
      <c r="S393" s="7"/>
      <c r="T393" s="7"/>
      <c r="U393" s="7"/>
      <c r="V393" s="7"/>
      <c r="W393" s="7"/>
      <c r="X393" s="7"/>
      <c r="Y393" s="7"/>
      <c r="Z393" s="7"/>
      <c r="AA393" s="7"/>
    </row>
    <row r="394">
      <c r="A394" s="242"/>
      <c r="B394" s="242"/>
      <c r="C394" s="177"/>
      <c r="D394" s="177"/>
      <c r="E394" s="177"/>
      <c r="F394" s="177"/>
      <c r="G394" s="177"/>
      <c r="H394" s="148"/>
      <c r="I394" s="7"/>
      <c r="J394" s="7"/>
      <c r="K394" s="7"/>
      <c r="L394" s="7"/>
      <c r="M394" s="7"/>
      <c r="N394" s="7"/>
      <c r="O394" s="7"/>
      <c r="P394" s="7"/>
      <c r="Q394" s="7"/>
      <c r="R394" s="7"/>
      <c r="S394" s="7"/>
      <c r="T394" s="7"/>
      <c r="U394" s="7"/>
      <c r="V394" s="7"/>
      <c r="W394" s="7"/>
      <c r="X394" s="7"/>
      <c r="Y394" s="7"/>
      <c r="Z394" s="7"/>
      <c r="AA394" s="7"/>
    </row>
    <row r="395">
      <c r="A395" s="242"/>
      <c r="B395" s="242"/>
      <c r="C395" s="177"/>
      <c r="D395" s="177"/>
      <c r="E395" s="177"/>
      <c r="F395" s="177"/>
      <c r="G395" s="177"/>
      <c r="H395" s="148"/>
      <c r="I395" s="7"/>
      <c r="J395" s="7"/>
      <c r="K395" s="7"/>
      <c r="L395" s="7"/>
      <c r="M395" s="7"/>
      <c r="N395" s="7"/>
      <c r="O395" s="7"/>
      <c r="P395" s="7"/>
      <c r="Q395" s="7"/>
      <c r="R395" s="7"/>
      <c r="S395" s="7"/>
      <c r="T395" s="7"/>
      <c r="U395" s="7"/>
      <c r="V395" s="7"/>
      <c r="W395" s="7"/>
      <c r="X395" s="7"/>
      <c r="Y395" s="7"/>
      <c r="Z395" s="7"/>
      <c r="AA395" s="7"/>
    </row>
    <row r="396">
      <c r="A396" s="242"/>
      <c r="B396" s="242"/>
      <c r="C396" s="177"/>
      <c r="D396" s="177"/>
      <c r="E396" s="177"/>
      <c r="F396" s="177"/>
      <c r="G396" s="177"/>
      <c r="H396" s="148"/>
      <c r="I396" s="7"/>
      <c r="J396" s="7"/>
      <c r="K396" s="7"/>
      <c r="L396" s="7"/>
      <c r="M396" s="7"/>
      <c r="N396" s="7"/>
      <c r="O396" s="7"/>
      <c r="P396" s="7"/>
      <c r="Q396" s="7"/>
      <c r="R396" s="7"/>
      <c r="S396" s="7"/>
      <c r="T396" s="7"/>
      <c r="U396" s="7"/>
      <c r="V396" s="7"/>
      <c r="W396" s="7"/>
      <c r="X396" s="7"/>
      <c r="Y396" s="7"/>
      <c r="Z396" s="7"/>
      <c r="AA396" s="7"/>
    </row>
    <row r="397">
      <c r="A397" s="242"/>
      <c r="B397" s="242"/>
      <c r="C397" s="177"/>
      <c r="D397" s="177"/>
      <c r="E397" s="177"/>
      <c r="F397" s="177"/>
      <c r="G397" s="177"/>
      <c r="H397" s="148"/>
      <c r="I397" s="7"/>
      <c r="J397" s="7"/>
      <c r="K397" s="7"/>
      <c r="L397" s="7"/>
      <c r="M397" s="7"/>
      <c r="N397" s="7"/>
      <c r="O397" s="7"/>
      <c r="P397" s="7"/>
      <c r="Q397" s="7"/>
      <c r="R397" s="7"/>
      <c r="S397" s="7"/>
      <c r="T397" s="7"/>
      <c r="U397" s="7"/>
      <c r="V397" s="7"/>
      <c r="W397" s="7"/>
      <c r="X397" s="7"/>
      <c r="Y397" s="7"/>
      <c r="Z397" s="7"/>
      <c r="AA397" s="7"/>
    </row>
    <row r="398">
      <c r="A398" s="242"/>
      <c r="B398" s="242"/>
      <c r="C398" s="177"/>
      <c r="D398" s="177"/>
      <c r="E398" s="177"/>
      <c r="F398" s="177"/>
      <c r="G398" s="177"/>
      <c r="H398" s="148"/>
      <c r="I398" s="7"/>
      <c r="J398" s="7"/>
      <c r="K398" s="7"/>
      <c r="L398" s="7"/>
      <c r="M398" s="7"/>
      <c r="N398" s="7"/>
      <c r="O398" s="7"/>
      <c r="P398" s="7"/>
      <c r="Q398" s="7"/>
      <c r="R398" s="7"/>
      <c r="S398" s="7"/>
      <c r="T398" s="7"/>
      <c r="U398" s="7"/>
      <c r="V398" s="7"/>
      <c r="W398" s="7"/>
      <c r="X398" s="7"/>
      <c r="Y398" s="7"/>
      <c r="Z398" s="7"/>
      <c r="AA398" s="7"/>
    </row>
    <row r="399">
      <c r="A399" s="242"/>
      <c r="B399" s="242"/>
      <c r="C399" s="177"/>
      <c r="D399" s="177"/>
      <c r="E399" s="177"/>
      <c r="F399" s="177"/>
      <c r="G399" s="177"/>
      <c r="H399" s="148"/>
      <c r="I399" s="7"/>
      <c r="J399" s="7"/>
      <c r="K399" s="7"/>
      <c r="L399" s="7"/>
      <c r="M399" s="7"/>
      <c r="N399" s="7"/>
      <c r="O399" s="7"/>
      <c r="P399" s="7"/>
      <c r="Q399" s="7"/>
      <c r="R399" s="7"/>
      <c r="S399" s="7"/>
      <c r="T399" s="7"/>
      <c r="U399" s="7"/>
      <c r="V399" s="7"/>
      <c r="W399" s="7"/>
      <c r="X399" s="7"/>
      <c r="Y399" s="7"/>
      <c r="Z399" s="7"/>
      <c r="AA399" s="7"/>
    </row>
    <row r="400">
      <c r="A400" s="242"/>
      <c r="B400" s="242"/>
      <c r="C400" s="177"/>
      <c r="D400" s="177"/>
      <c r="E400" s="177"/>
      <c r="F400" s="177"/>
      <c r="G400" s="177"/>
      <c r="H400" s="148"/>
      <c r="I400" s="7"/>
      <c r="J400" s="7"/>
      <c r="K400" s="7"/>
      <c r="L400" s="7"/>
      <c r="M400" s="7"/>
      <c r="N400" s="7"/>
      <c r="O400" s="7"/>
      <c r="P400" s="7"/>
      <c r="Q400" s="7"/>
      <c r="R400" s="7"/>
      <c r="S400" s="7"/>
      <c r="T400" s="7"/>
      <c r="U400" s="7"/>
      <c r="V400" s="7"/>
      <c r="W400" s="7"/>
      <c r="X400" s="7"/>
      <c r="Y400" s="7"/>
      <c r="Z400" s="7"/>
      <c r="AA400" s="7"/>
    </row>
    <row r="401">
      <c r="A401" s="242"/>
      <c r="B401" s="242"/>
      <c r="C401" s="177"/>
      <c r="D401" s="177"/>
      <c r="E401" s="177"/>
      <c r="F401" s="177"/>
      <c r="G401" s="177"/>
      <c r="H401" s="148"/>
      <c r="I401" s="7"/>
      <c r="J401" s="7"/>
      <c r="K401" s="7"/>
      <c r="L401" s="7"/>
      <c r="M401" s="7"/>
      <c r="N401" s="7"/>
      <c r="O401" s="7"/>
      <c r="P401" s="7"/>
      <c r="Q401" s="7"/>
      <c r="R401" s="7"/>
      <c r="S401" s="7"/>
      <c r="T401" s="7"/>
      <c r="U401" s="7"/>
      <c r="V401" s="7"/>
      <c r="W401" s="7"/>
      <c r="X401" s="7"/>
      <c r="Y401" s="7"/>
      <c r="Z401" s="7"/>
      <c r="AA401" s="7"/>
    </row>
    <row r="402">
      <c r="A402" s="242"/>
      <c r="B402" s="242"/>
      <c r="C402" s="177"/>
      <c r="D402" s="177"/>
      <c r="E402" s="177"/>
      <c r="F402" s="177"/>
      <c r="G402" s="177"/>
      <c r="H402" s="148"/>
      <c r="I402" s="7"/>
      <c r="J402" s="7"/>
      <c r="K402" s="7"/>
      <c r="L402" s="7"/>
      <c r="M402" s="7"/>
      <c r="N402" s="7"/>
      <c r="O402" s="7"/>
      <c r="P402" s="7"/>
      <c r="Q402" s="7"/>
      <c r="R402" s="7"/>
      <c r="S402" s="7"/>
      <c r="T402" s="7"/>
      <c r="U402" s="7"/>
      <c r="V402" s="7"/>
      <c r="W402" s="7"/>
      <c r="X402" s="7"/>
      <c r="Y402" s="7"/>
      <c r="Z402" s="7"/>
      <c r="AA402" s="7"/>
    </row>
    <row r="403">
      <c r="A403" s="242"/>
      <c r="B403" s="242"/>
      <c r="C403" s="177"/>
      <c r="D403" s="177"/>
      <c r="E403" s="177"/>
      <c r="F403" s="177"/>
      <c r="G403" s="177"/>
      <c r="H403" s="148"/>
      <c r="I403" s="7"/>
      <c r="J403" s="7"/>
      <c r="K403" s="7"/>
      <c r="L403" s="7"/>
      <c r="M403" s="7"/>
      <c r="N403" s="7"/>
      <c r="O403" s="7"/>
      <c r="P403" s="7"/>
      <c r="Q403" s="7"/>
      <c r="R403" s="7"/>
      <c r="S403" s="7"/>
      <c r="T403" s="7"/>
      <c r="U403" s="7"/>
      <c r="V403" s="7"/>
      <c r="W403" s="7"/>
      <c r="X403" s="7"/>
      <c r="Y403" s="7"/>
      <c r="Z403" s="7"/>
      <c r="AA403" s="7"/>
    </row>
    <row r="404">
      <c r="A404" s="242"/>
      <c r="B404" s="242"/>
      <c r="C404" s="177"/>
      <c r="D404" s="177"/>
      <c r="E404" s="177"/>
      <c r="F404" s="177"/>
      <c r="G404" s="177"/>
      <c r="H404" s="148"/>
      <c r="I404" s="7"/>
      <c r="J404" s="7"/>
      <c r="K404" s="7"/>
      <c r="L404" s="7"/>
      <c r="M404" s="7"/>
      <c r="N404" s="7"/>
      <c r="O404" s="7"/>
      <c r="P404" s="7"/>
      <c r="Q404" s="7"/>
      <c r="R404" s="7"/>
      <c r="S404" s="7"/>
      <c r="T404" s="7"/>
      <c r="U404" s="7"/>
      <c r="V404" s="7"/>
      <c r="W404" s="7"/>
      <c r="X404" s="7"/>
      <c r="Y404" s="7"/>
      <c r="Z404" s="7"/>
      <c r="AA404" s="7"/>
    </row>
    <row r="405">
      <c r="A405" s="242"/>
      <c r="B405" s="242"/>
      <c r="C405" s="177"/>
      <c r="D405" s="177"/>
      <c r="E405" s="177"/>
      <c r="F405" s="177"/>
      <c r="G405" s="177"/>
      <c r="H405" s="148"/>
      <c r="I405" s="7"/>
      <c r="J405" s="7"/>
      <c r="K405" s="7"/>
      <c r="L405" s="7"/>
      <c r="M405" s="7"/>
      <c r="N405" s="7"/>
      <c r="O405" s="7"/>
      <c r="P405" s="7"/>
      <c r="Q405" s="7"/>
      <c r="R405" s="7"/>
      <c r="S405" s="7"/>
      <c r="T405" s="7"/>
      <c r="U405" s="7"/>
      <c r="V405" s="7"/>
      <c r="W405" s="7"/>
      <c r="X405" s="7"/>
      <c r="Y405" s="7"/>
      <c r="Z405" s="7"/>
      <c r="AA405" s="7"/>
    </row>
    <row r="406">
      <c r="A406" s="242"/>
      <c r="B406" s="242"/>
      <c r="C406" s="177"/>
      <c r="D406" s="177"/>
      <c r="E406" s="177"/>
      <c r="F406" s="177"/>
      <c r="G406" s="177"/>
      <c r="H406" s="148"/>
      <c r="I406" s="7"/>
      <c r="J406" s="7"/>
      <c r="K406" s="7"/>
      <c r="L406" s="7"/>
      <c r="M406" s="7"/>
      <c r="N406" s="7"/>
      <c r="O406" s="7"/>
      <c r="P406" s="7"/>
      <c r="Q406" s="7"/>
      <c r="R406" s="7"/>
      <c r="S406" s="7"/>
      <c r="T406" s="7"/>
      <c r="U406" s="7"/>
      <c r="V406" s="7"/>
      <c r="W406" s="7"/>
      <c r="X406" s="7"/>
      <c r="Y406" s="7"/>
      <c r="Z406" s="7"/>
      <c r="AA406" s="7"/>
    </row>
    <row r="407">
      <c r="A407" s="242"/>
      <c r="B407" s="242"/>
      <c r="C407" s="177"/>
      <c r="D407" s="177"/>
      <c r="E407" s="177"/>
      <c r="F407" s="177"/>
      <c r="G407" s="177"/>
      <c r="H407" s="148"/>
      <c r="I407" s="7"/>
      <c r="J407" s="7"/>
      <c r="K407" s="7"/>
      <c r="L407" s="7"/>
      <c r="M407" s="7"/>
      <c r="N407" s="7"/>
      <c r="O407" s="7"/>
      <c r="P407" s="7"/>
      <c r="Q407" s="7"/>
      <c r="R407" s="7"/>
      <c r="S407" s="7"/>
      <c r="T407" s="7"/>
      <c r="U407" s="7"/>
      <c r="V407" s="7"/>
      <c r="W407" s="7"/>
      <c r="X407" s="7"/>
      <c r="Y407" s="7"/>
      <c r="Z407" s="7"/>
      <c r="AA407" s="7"/>
    </row>
    <row r="408">
      <c r="A408" s="242"/>
      <c r="B408" s="242"/>
      <c r="C408" s="177"/>
      <c r="D408" s="177"/>
      <c r="E408" s="177"/>
      <c r="F408" s="177"/>
      <c r="G408" s="177"/>
      <c r="H408" s="148"/>
      <c r="I408" s="7"/>
      <c r="J408" s="7"/>
      <c r="K408" s="7"/>
      <c r="L408" s="7"/>
      <c r="M408" s="7"/>
      <c r="N408" s="7"/>
      <c r="O408" s="7"/>
      <c r="P408" s="7"/>
      <c r="Q408" s="7"/>
      <c r="R408" s="7"/>
      <c r="S408" s="7"/>
      <c r="T408" s="7"/>
      <c r="U408" s="7"/>
      <c r="V408" s="7"/>
      <c r="W408" s="7"/>
      <c r="X408" s="7"/>
      <c r="Y408" s="7"/>
      <c r="Z408" s="7"/>
      <c r="AA408" s="7"/>
    </row>
    <row r="409">
      <c r="A409" s="242"/>
      <c r="B409" s="242"/>
      <c r="C409" s="177"/>
      <c r="D409" s="177"/>
      <c r="E409" s="177"/>
      <c r="F409" s="177"/>
      <c r="G409" s="177"/>
      <c r="H409" s="148"/>
      <c r="I409" s="7"/>
      <c r="J409" s="7"/>
      <c r="K409" s="7"/>
      <c r="L409" s="7"/>
      <c r="M409" s="7"/>
      <c r="N409" s="7"/>
      <c r="O409" s="7"/>
      <c r="P409" s="7"/>
      <c r="Q409" s="7"/>
      <c r="R409" s="7"/>
      <c r="S409" s="7"/>
      <c r="T409" s="7"/>
      <c r="U409" s="7"/>
      <c r="V409" s="7"/>
      <c r="W409" s="7"/>
      <c r="X409" s="7"/>
      <c r="Y409" s="7"/>
      <c r="Z409" s="7"/>
      <c r="AA409" s="7"/>
    </row>
    <row r="410">
      <c r="A410" s="242"/>
      <c r="B410" s="242"/>
      <c r="C410" s="177"/>
      <c r="D410" s="177"/>
      <c r="E410" s="177"/>
      <c r="F410" s="177"/>
      <c r="G410" s="177"/>
      <c r="H410" s="148"/>
      <c r="I410" s="7"/>
      <c r="J410" s="7"/>
      <c r="K410" s="7"/>
      <c r="L410" s="7"/>
      <c r="M410" s="7"/>
      <c r="N410" s="7"/>
      <c r="O410" s="7"/>
      <c r="P410" s="7"/>
      <c r="Q410" s="7"/>
      <c r="R410" s="7"/>
      <c r="S410" s="7"/>
      <c r="T410" s="7"/>
      <c r="U410" s="7"/>
      <c r="V410" s="7"/>
      <c r="W410" s="7"/>
      <c r="X410" s="7"/>
      <c r="Y410" s="7"/>
      <c r="Z410" s="7"/>
      <c r="AA410" s="7"/>
    </row>
    <row r="411">
      <c r="A411" s="242"/>
      <c r="B411" s="242"/>
      <c r="C411" s="177"/>
      <c r="D411" s="177"/>
      <c r="E411" s="177"/>
      <c r="F411" s="177"/>
      <c r="G411" s="177"/>
      <c r="H411" s="148"/>
      <c r="I411" s="7"/>
      <c r="J411" s="7"/>
      <c r="K411" s="7"/>
      <c r="L411" s="7"/>
      <c r="M411" s="7"/>
      <c r="N411" s="7"/>
      <c r="O411" s="7"/>
      <c r="P411" s="7"/>
      <c r="Q411" s="7"/>
      <c r="R411" s="7"/>
      <c r="S411" s="7"/>
      <c r="T411" s="7"/>
      <c r="U411" s="7"/>
      <c r="V411" s="7"/>
      <c r="W411" s="7"/>
      <c r="X411" s="7"/>
      <c r="Y411" s="7"/>
      <c r="Z411" s="7"/>
      <c r="AA411" s="7"/>
    </row>
    <row r="412">
      <c r="A412" s="242"/>
      <c r="B412" s="242"/>
      <c r="C412" s="177"/>
      <c r="D412" s="177"/>
      <c r="E412" s="177"/>
      <c r="F412" s="177"/>
      <c r="G412" s="177"/>
      <c r="H412" s="148"/>
      <c r="I412" s="7"/>
      <c r="J412" s="7"/>
      <c r="K412" s="7"/>
      <c r="L412" s="7"/>
      <c r="M412" s="7"/>
      <c r="N412" s="7"/>
      <c r="O412" s="7"/>
      <c r="P412" s="7"/>
      <c r="Q412" s="7"/>
      <c r="R412" s="7"/>
      <c r="S412" s="7"/>
      <c r="T412" s="7"/>
      <c r="U412" s="7"/>
      <c r="V412" s="7"/>
      <c r="W412" s="7"/>
      <c r="X412" s="7"/>
      <c r="Y412" s="7"/>
      <c r="Z412" s="7"/>
      <c r="AA412" s="7"/>
    </row>
    <row r="413">
      <c r="A413" s="242"/>
      <c r="B413" s="242"/>
      <c r="C413" s="177"/>
      <c r="D413" s="177"/>
      <c r="E413" s="177"/>
      <c r="F413" s="177"/>
      <c r="G413" s="177"/>
      <c r="H413" s="148"/>
      <c r="I413" s="7"/>
      <c r="J413" s="7"/>
      <c r="K413" s="7"/>
      <c r="L413" s="7"/>
      <c r="M413" s="7"/>
      <c r="N413" s="7"/>
      <c r="O413" s="7"/>
      <c r="P413" s="7"/>
      <c r="Q413" s="7"/>
      <c r="R413" s="7"/>
      <c r="S413" s="7"/>
      <c r="T413" s="7"/>
      <c r="U413" s="7"/>
      <c r="V413" s="7"/>
      <c r="W413" s="7"/>
      <c r="X413" s="7"/>
      <c r="Y413" s="7"/>
      <c r="Z413" s="7"/>
      <c r="AA413" s="7"/>
    </row>
    <row r="414">
      <c r="A414" s="242"/>
      <c r="B414" s="242"/>
      <c r="C414" s="177"/>
      <c r="D414" s="177"/>
      <c r="E414" s="177"/>
      <c r="F414" s="177"/>
      <c r="G414" s="177"/>
      <c r="H414" s="148"/>
      <c r="I414" s="7"/>
      <c r="J414" s="7"/>
      <c r="K414" s="7"/>
      <c r="L414" s="7"/>
      <c r="M414" s="7"/>
      <c r="N414" s="7"/>
      <c r="O414" s="7"/>
      <c r="P414" s="7"/>
      <c r="Q414" s="7"/>
      <c r="R414" s="7"/>
      <c r="S414" s="7"/>
      <c r="T414" s="7"/>
      <c r="U414" s="7"/>
      <c r="V414" s="7"/>
      <c r="W414" s="7"/>
      <c r="X414" s="7"/>
      <c r="Y414" s="7"/>
      <c r="Z414" s="7"/>
      <c r="AA414" s="7"/>
    </row>
    <row r="415">
      <c r="A415" s="242"/>
      <c r="B415" s="242"/>
      <c r="C415" s="177"/>
      <c r="D415" s="177"/>
      <c r="E415" s="177"/>
      <c r="F415" s="177"/>
      <c r="G415" s="177"/>
      <c r="H415" s="148"/>
      <c r="I415" s="7"/>
      <c r="J415" s="7"/>
      <c r="K415" s="7"/>
      <c r="L415" s="7"/>
      <c r="M415" s="7"/>
      <c r="N415" s="7"/>
      <c r="O415" s="7"/>
      <c r="P415" s="7"/>
      <c r="Q415" s="7"/>
      <c r="R415" s="7"/>
      <c r="S415" s="7"/>
      <c r="T415" s="7"/>
      <c r="U415" s="7"/>
      <c r="V415" s="7"/>
      <c r="W415" s="7"/>
      <c r="X415" s="7"/>
      <c r="Y415" s="7"/>
      <c r="Z415" s="7"/>
      <c r="AA415" s="7"/>
    </row>
    <row r="416">
      <c r="A416" s="242"/>
      <c r="B416" s="242"/>
      <c r="C416" s="177"/>
      <c r="D416" s="177"/>
      <c r="E416" s="177"/>
      <c r="F416" s="177"/>
      <c r="G416" s="177"/>
      <c r="H416" s="148"/>
      <c r="I416" s="7"/>
      <c r="J416" s="7"/>
      <c r="K416" s="7"/>
      <c r="L416" s="7"/>
      <c r="M416" s="7"/>
      <c r="N416" s="7"/>
      <c r="O416" s="7"/>
      <c r="P416" s="7"/>
      <c r="Q416" s="7"/>
      <c r="R416" s="7"/>
      <c r="S416" s="7"/>
      <c r="T416" s="7"/>
      <c r="U416" s="7"/>
      <c r="V416" s="7"/>
      <c r="W416" s="7"/>
      <c r="X416" s="7"/>
      <c r="Y416" s="7"/>
      <c r="Z416" s="7"/>
      <c r="AA416" s="7"/>
    </row>
    <row r="417">
      <c r="A417" s="242"/>
      <c r="B417" s="242"/>
      <c r="C417" s="177"/>
      <c r="D417" s="177"/>
      <c r="E417" s="177"/>
      <c r="F417" s="177"/>
      <c r="G417" s="177"/>
      <c r="H417" s="148"/>
      <c r="I417" s="7"/>
      <c r="J417" s="7"/>
      <c r="K417" s="7"/>
      <c r="L417" s="7"/>
      <c r="M417" s="7"/>
      <c r="N417" s="7"/>
      <c r="O417" s="7"/>
      <c r="P417" s="7"/>
      <c r="Q417" s="7"/>
      <c r="R417" s="7"/>
      <c r="S417" s="7"/>
      <c r="T417" s="7"/>
      <c r="U417" s="7"/>
      <c r="V417" s="7"/>
      <c r="W417" s="7"/>
      <c r="X417" s="7"/>
      <c r="Y417" s="7"/>
      <c r="Z417" s="7"/>
      <c r="AA417" s="7"/>
    </row>
    <row r="418">
      <c r="A418" s="242"/>
      <c r="B418" s="242"/>
      <c r="C418" s="177"/>
      <c r="D418" s="177"/>
      <c r="E418" s="177"/>
      <c r="F418" s="177"/>
      <c r="G418" s="177"/>
      <c r="H418" s="148"/>
      <c r="I418" s="7"/>
      <c r="J418" s="7"/>
      <c r="K418" s="7"/>
      <c r="L418" s="7"/>
      <c r="M418" s="7"/>
      <c r="N418" s="7"/>
      <c r="O418" s="7"/>
      <c r="P418" s="7"/>
      <c r="Q418" s="7"/>
      <c r="R418" s="7"/>
      <c r="S418" s="7"/>
      <c r="T418" s="7"/>
      <c r="U418" s="7"/>
      <c r="V418" s="7"/>
      <c r="W418" s="7"/>
      <c r="X418" s="7"/>
      <c r="Y418" s="7"/>
      <c r="Z418" s="7"/>
      <c r="AA418" s="7"/>
    </row>
    <row r="419">
      <c r="A419" s="242"/>
      <c r="B419" s="242"/>
      <c r="C419" s="177"/>
      <c r="D419" s="177"/>
      <c r="E419" s="177"/>
      <c r="F419" s="177"/>
      <c r="G419" s="177"/>
      <c r="H419" s="148"/>
      <c r="I419" s="7"/>
      <c r="J419" s="7"/>
      <c r="K419" s="7"/>
      <c r="L419" s="7"/>
      <c r="M419" s="7"/>
      <c r="N419" s="7"/>
      <c r="O419" s="7"/>
      <c r="P419" s="7"/>
      <c r="Q419" s="7"/>
      <c r="R419" s="7"/>
      <c r="S419" s="7"/>
      <c r="T419" s="7"/>
      <c r="U419" s="7"/>
      <c r="V419" s="7"/>
      <c r="W419" s="7"/>
      <c r="X419" s="7"/>
      <c r="Y419" s="7"/>
      <c r="Z419" s="7"/>
      <c r="AA419" s="7"/>
    </row>
    <row r="420">
      <c r="A420" s="242"/>
      <c r="B420" s="242"/>
      <c r="C420" s="177"/>
      <c r="D420" s="177"/>
      <c r="E420" s="177"/>
      <c r="F420" s="177"/>
      <c r="G420" s="177"/>
      <c r="H420" s="148"/>
      <c r="I420" s="7"/>
      <c r="J420" s="7"/>
      <c r="K420" s="7"/>
      <c r="L420" s="7"/>
      <c r="M420" s="7"/>
      <c r="N420" s="7"/>
      <c r="O420" s="7"/>
      <c r="P420" s="7"/>
      <c r="Q420" s="7"/>
      <c r="R420" s="7"/>
      <c r="S420" s="7"/>
      <c r="T420" s="7"/>
      <c r="U420" s="7"/>
      <c r="V420" s="7"/>
      <c r="W420" s="7"/>
      <c r="X420" s="7"/>
      <c r="Y420" s="7"/>
      <c r="Z420" s="7"/>
      <c r="AA420" s="7"/>
    </row>
    <row r="421">
      <c r="A421" s="242"/>
      <c r="B421" s="242"/>
      <c r="C421" s="177"/>
      <c r="D421" s="177"/>
      <c r="E421" s="177"/>
      <c r="F421" s="177"/>
      <c r="G421" s="177"/>
      <c r="H421" s="148"/>
      <c r="I421" s="7"/>
      <c r="J421" s="7"/>
      <c r="K421" s="7"/>
      <c r="L421" s="7"/>
      <c r="M421" s="7"/>
      <c r="N421" s="7"/>
      <c r="O421" s="7"/>
      <c r="P421" s="7"/>
      <c r="Q421" s="7"/>
      <c r="R421" s="7"/>
      <c r="S421" s="7"/>
      <c r="T421" s="7"/>
      <c r="U421" s="7"/>
      <c r="V421" s="7"/>
      <c r="W421" s="7"/>
      <c r="X421" s="7"/>
      <c r="Y421" s="7"/>
      <c r="Z421" s="7"/>
      <c r="AA421" s="7"/>
    </row>
    <row r="422">
      <c r="A422" s="242"/>
      <c r="B422" s="242"/>
      <c r="C422" s="177"/>
      <c r="D422" s="177"/>
      <c r="E422" s="177"/>
      <c r="F422" s="177"/>
      <c r="G422" s="177"/>
      <c r="H422" s="148"/>
      <c r="I422" s="7"/>
      <c r="J422" s="7"/>
      <c r="K422" s="7"/>
      <c r="L422" s="7"/>
      <c r="M422" s="7"/>
      <c r="N422" s="7"/>
      <c r="O422" s="7"/>
      <c r="P422" s="7"/>
      <c r="Q422" s="7"/>
      <c r="R422" s="7"/>
      <c r="S422" s="7"/>
      <c r="T422" s="7"/>
      <c r="U422" s="7"/>
      <c r="V422" s="7"/>
      <c r="W422" s="7"/>
      <c r="X422" s="7"/>
      <c r="Y422" s="7"/>
      <c r="Z422" s="7"/>
      <c r="AA422" s="7"/>
    </row>
    <row r="423">
      <c r="A423" s="242"/>
      <c r="B423" s="242"/>
      <c r="C423" s="177"/>
      <c r="D423" s="177"/>
      <c r="E423" s="177"/>
      <c r="F423" s="177"/>
      <c r="G423" s="177"/>
      <c r="H423" s="148"/>
      <c r="I423" s="7"/>
      <c r="J423" s="7"/>
      <c r="K423" s="7"/>
      <c r="L423" s="7"/>
      <c r="M423" s="7"/>
      <c r="N423" s="7"/>
      <c r="O423" s="7"/>
      <c r="P423" s="7"/>
      <c r="Q423" s="7"/>
      <c r="R423" s="7"/>
      <c r="S423" s="7"/>
      <c r="T423" s="7"/>
      <c r="U423" s="7"/>
      <c r="V423" s="7"/>
      <c r="W423" s="7"/>
      <c r="X423" s="7"/>
      <c r="Y423" s="7"/>
      <c r="Z423" s="7"/>
      <c r="AA423" s="7"/>
    </row>
    <row r="424">
      <c r="A424" s="242"/>
      <c r="B424" s="242"/>
      <c r="C424" s="177"/>
      <c r="D424" s="177"/>
      <c r="E424" s="177"/>
      <c r="F424" s="177"/>
      <c r="G424" s="177"/>
      <c r="H424" s="148"/>
      <c r="I424" s="7"/>
      <c r="J424" s="7"/>
      <c r="K424" s="7"/>
      <c r="L424" s="7"/>
      <c r="M424" s="7"/>
      <c r="N424" s="7"/>
      <c r="O424" s="7"/>
      <c r="P424" s="7"/>
      <c r="Q424" s="7"/>
      <c r="R424" s="7"/>
      <c r="S424" s="7"/>
      <c r="T424" s="7"/>
      <c r="U424" s="7"/>
      <c r="V424" s="7"/>
      <c r="W424" s="7"/>
      <c r="X424" s="7"/>
      <c r="Y424" s="7"/>
      <c r="Z424" s="7"/>
      <c r="AA424" s="7"/>
    </row>
    <row r="425">
      <c r="A425" s="242"/>
      <c r="B425" s="242"/>
      <c r="C425" s="177"/>
      <c r="D425" s="177"/>
      <c r="E425" s="177"/>
      <c r="F425" s="177"/>
      <c r="G425" s="177"/>
      <c r="H425" s="148"/>
      <c r="I425" s="7"/>
      <c r="J425" s="7"/>
      <c r="K425" s="7"/>
      <c r="L425" s="7"/>
      <c r="M425" s="7"/>
      <c r="N425" s="7"/>
      <c r="O425" s="7"/>
      <c r="P425" s="7"/>
      <c r="Q425" s="7"/>
      <c r="R425" s="7"/>
      <c r="S425" s="7"/>
      <c r="T425" s="7"/>
      <c r="U425" s="7"/>
      <c r="V425" s="7"/>
      <c r="W425" s="7"/>
      <c r="X425" s="7"/>
      <c r="Y425" s="7"/>
      <c r="Z425" s="7"/>
      <c r="AA425" s="7"/>
    </row>
    <row r="426">
      <c r="A426" s="242"/>
      <c r="B426" s="242"/>
      <c r="C426" s="177"/>
      <c r="D426" s="177"/>
      <c r="E426" s="177"/>
      <c r="F426" s="177"/>
      <c r="G426" s="177"/>
      <c r="H426" s="148"/>
      <c r="I426" s="7"/>
      <c r="J426" s="7"/>
      <c r="K426" s="7"/>
      <c r="L426" s="7"/>
      <c r="M426" s="7"/>
      <c r="N426" s="7"/>
      <c r="O426" s="7"/>
      <c r="P426" s="7"/>
      <c r="Q426" s="7"/>
      <c r="R426" s="7"/>
      <c r="S426" s="7"/>
      <c r="T426" s="7"/>
      <c r="U426" s="7"/>
      <c r="V426" s="7"/>
      <c r="W426" s="7"/>
      <c r="X426" s="7"/>
      <c r="Y426" s="7"/>
      <c r="Z426" s="7"/>
      <c r="AA426" s="7"/>
    </row>
    <row r="427">
      <c r="A427" s="242"/>
      <c r="B427" s="242"/>
      <c r="C427" s="177"/>
      <c r="D427" s="177"/>
      <c r="E427" s="177"/>
      <c r="F427" s="177"/>
      <c r="G427" s="177"/>
      <c r="H427" s="148"/>
      <c r="I427" s="7"/>
      <c r="J427" s="7"/>
      <c r="K427" s="7"/>
      <c r="L427" s="7"/>
      <c r="M427" s="7"/>
      <c r="N427" s="7"/>
      <c r="O427" s="7"/>
      <c r="P427" s="7"/>
      <c r="Q427" s="7"/>
      <c r="R427" s="7"/>
      <c r="S427" s="7"/>
      <c r="T427" s="7"/>
      <c r="U427" s="7"/>
      <c r="V427" s="7"/>
      <c r="W427" s="7"/>
      <c r="X427" s="7"/>
      <c r="Y427" s="7"/>
      <c r="Z427" s="7"/>
      <c r="AA427" s="7"/>
    </row>
    <row r="428">
      <c r="A428" s="242"/>
      <c r="B428" s="242"/>
      <c r="C428" s="177"/>
      <c r="D428" s="177"/>
      <c r="E428" s="177"/>
      <c r="F428" s="177"/>
      <c r="G428" s="177"/>
      <c r="H428" s="148"/>
      <c r="I428" s="7"/>
      <c r="J428" s="7"/>
      <c r="K428" s="7"/>
      <c r="L428" s="7"/>
      <c r="M428" s="7"/>
      <c r="N428" s="7"/>
      <c r="O428" s="7"/>
      <c r="P428" s="7"/>
      <c r="Q428" s="7"/>
      <c r="R428" s="7"/>
      <c r="S428" s="7"/>
      <c r="T428" s="7"/>
      <c r="U428" s="7"/>
      <c r="V428" s="7"/>
      <c r="W428" s="7"/>
      <c r="X428" s="7"/>
      <c r="Y428" s="7"/>
      <c r="Z428" s="7"/>
      <c r="AA428" s="7"/>
    </row>
    <row r="429">
      <c r="A429" s="242"/>
      <c r="B429" s="242"/>
      <c r="C429" s="177"/>
      <c r="D429" s="177"/>
      <c r="E429" s="177"/>
      <c r="F429" s="177"/>
      <c r="G429" s="177"/>
      <c r="H429" s="148"/>
      <c r="I429" s="7"/>
      <c r="J429" s="7"/>
      <c r="K429" s="7"/>
      <c r="L429" s="7"/>
      <c r="M429" s="7"/>
      <c r="N429" s="7"/>
      <c r="O429" s="7"/>
      <c r="P429" s="7"/>
      <c r="Q429" s="7"/>
      <c r="R429" s="7"/>
      <c r="S429" s="7"/>
      <c r="T429" s="7"/>
      <c r="U429" s="7"/>
      <c r="V429" s="7"/>
      <c r="W429" s="7"/>
      <c r="X429" s="7"/>
      <c r="Y429" s="7"/>
      <c r="Z429" s="7"/>
      <c r="AA429" s="7"/>
    </row>
    <row r="430">
      <c r="A430" s="242"/>
      <c r="B430" s="242"/>
      <c r="C430" s="177"/>
      <c r="D430" s="177"/>
      <c r="E430" s="177"/>
      <c r="F430" s="177"/>
      <c r="G430" s="177"/>
      <c r="H430" s="148"/>
      <c r="I430" s="7"/>
      <c r="J430" s="7"/>
      <c r="K430" s="7"/>
      <c r="L430" s="7"/>
      <c r="M430" s="7"/>
      <c r="N430" s="7"/>
      <c r="O430" s="7"/>
      <c r="P430" s="7"/>
      <c r="Q430" s="7"/>
      <c r="R430" s="7"/>
      <c r="S430" s="7"/>
      <c r="T430" s="7"/>
      <c r="U430" s="7"/>
      <c r="V430" s="7"/>
      <c r="W430" s="7"/>
      <c r="X430" s="7"/>
      <c r="Y430" s="7"/>
      <c r="Z430" s="7"/>
      <c r="AA430" s="7"/>
    </row>
    <row r="431">
      <c r="A431" s="242"/>
      <c r="B431" s="242"/>
      <c r="C431" s="177"/>
      <c r="D431" s="177"/>
      <c r="E431" s="177"/>
      <c r="F431" s="177"/>
      <c r="G431" s="177"/>
      <c r="H431" s="148"/>
      <c r="I431" s="7"/>
      <c r="J431" s="7"/>
      <c r="K431" s="7"/>
      <c r="L431" s="7"/>
      <c r="M431" s="7"/>
      <c r="N431" s="7"/>
      <c r="O431" s="7"/>
      <c r="P431" s="7"/>
      <c r="Q431" s="7"/>
      <c r="R431" s="7"/>
      <c r="S431" s="7"/>
      <c r="T431" s="7"/>
      <c r="U431" s="7"/>
      <c r="V431" s="7"/>
      <c r="W431" s="7"/>
      <c r="X431" s="7"/>
      <c r="Y431" s="7"/>
      <c r="Z431" s="7"/>
      <c r="AA431" s="7"/>
    </row>
    <row r="432">
      <c r="A432" s="242"/>
      <c r="B432" s="242"/>
      <c r="C432" s="177"/>
      <c r="D432" s="177"/>
      <c r="E432" s="177"/>
      <c r="F432" s="177"/>
      <c r="G432" s="177"/>
      <c r="H432" s="148"/>
      <c r="I432" s="7"/>
      <c r="J432" s="7"/>
      <c r="K432" s="7"/>
      <c r="L432" s="7"/>
      <c r="M432" s="7"/>
      <c r="N432" s="7"/>
      <c r="O432" s="7"/>
      <c r="P432" s="7"/>
      <c r="Q432" s="7"/>
      <c r="R432" s="7"/>
      <c r="S432" s="7"/>
      <c r="T432" s="7"/>
      <c r="U432" s="7"/>
      <c r="V432" s="7"/>
      <c r="W432" s="7"/>
      <c r="X432" s="7"/>
      <c r="Y432" s="7"/>
      <c r="Z432" s="7"/>
      <c r="AA432" s="7"/>
    </row>
    <row r="433">
      <c r="A433" s="242"/>
      <c r="B433" s="242"/>
      <c r="C433" s="177"/>
      <c r="D433" s="177"/>
      <c r="E433" s="177"/>
      <c r="F433" s="177"/>
      <c r="G433" s="177"/>
      <c r="H433" s="148"/>
      <c r="I433" s="7"/>
      <c r="J433" s="7"/>
      <c r="K433" s="7"/>
      <c r="L433" s="7"/>
      <c r="M433" s="7"/>
      <c r="N433" s="7"/>
      <c r="O433" s="7"/>
      <c r="P433" s="7"/>
      <c r="Q433" s="7"/>
      <c r="R433" s="7"/>
      <c r="S433" s="7"/>
      <c r="T433" s="7"/>
      <c r="U433" s="7"/>
      <c r="V433" s="7"/>
      <c r="W433" s="7"/>
      <c r="X433" s="7"/>
      <c r="Y433" s="7"/>
      <c r="Z433" s="7"/>
      <c r="AA433" s="7"/>
    </row>
    <row r="434">
      <c r="A434" s="242"/>
      <c r="B434" s="242"/>
      <c r="C434" s="177"/>
      <c r="D434" s="177"/>
      <c r="E434" s="177"/>
      <c r="F434" s="177"/>
      <c r="G434" s="177"/>
      <c r="H434" s="148"/>
      <c r="I434" s="7"/>
      <c r="J434" s="7"/>
      <c r="K434" s="7"/>
      <c r="L434" s="7"/>
      <c r="M434" s="7"/>
      <c r="N434" s="7"/>
      <c r="O434" s="7"/>
      <c r="P434" s="7"/>
      <c r="Q434" s="7"/>
      <c r="R434" s="7"/>
      <c r="S434" s="7"/>
      <c r="T434" s="7"/>
      <c r="U434" s="7"/>
      <c r="V434" s="7"/>
      <c r="W434" s="7"/>
      <c r="X434" s="7"/>
      <c r="Y434" s="7"/>
      <c r="Z434" s="7"/>
      <c r="AA434" s="7"/>
    </row>
    <row r="435">
      <c r="A435" s="242"/>
      <c r="B435" s="242"/>
      <c r="C435" s="177"/>
      <c r="D435" s="177"/>
      <c r="E435" s="177"/>
      <c r="F435" s="177"/>
      <c r="G435" s="177"/>
      <c r="H435" s="148"/>
      <c r="I435" s="7"/>
      <c r="J435" s="7"/>
      <c r="K435" s="7"/>
      <c r="L435" s="7"/>
      <c r="M435" s="7"/>
      <c r="N435" s="7"/>
      <c r="O435" s="7"/>
      <c r="P435" s="7"/>
      <c r="Q435" s="7"/>
      <c r="R435" s="7"/>
      <c r="S435" s="7"/>
      <c r="T435" s="7"/>
      <c r="U435" s="7"/>
      <c r="V435" s="7"/>
      <c r="W435" s="7"/>
      <c r="X435" s="7"/>
      <c r="Y435" s="7"/>
      <c r="Z435" s="7"/>
      <c r="AA435" s="7"/>
    </row>
    <row r="436">
      <c r="A436" s="242"/>
      <c r="B436" s="242"/>
      <c r="C436" s="177"/>
      <c r="D436" s="177"/>
      <c r="E436" s="177"/>
      <c r="F436" s="177"/>
      <c r="G436" s="177"/>
      <c r="H436" s="148"/>
      <c r="I436" s="7"/>
      <c r="J436" s="7"/>
      <c r="K436" s="7"/>
      <c r="L436" s="7"/>
      <c r="M436" s="7"/>
      <c r="N436" s="7"/>
      <c r="O436" s="7"/>
      <c r="P436" s="7"/>
      <c r="Q436" s="7"/>
      <c r="R436" s="7"/>
      <c r="S436" s="7"/>
      <c r="T436" s="7"/>
      <c r="U436" s="7"/>
      <c r="V436" s="7"/>
      <c r="W436" s="7"/>
      <c r="X436" s="7"/>
      <c r="Y436" s="7"/>
      <c r="Z436" s="7"/>
      <c r="AA436" s="7"/>
    </row>
    <row r="437">
      <c r="A437" s="242"/>
      <c r="B437" s="242"/>
      <c r="C437" s="177"/>
      <c r="D437" s="177"/>
      <c r="E437" s="177"/>
      <c r="F437" s="177"/>
      <c r="G437" s="177"/>
      <c r="H437" s="148"/>
      <c r="I437" s="7"/>
      <c r="J437" s="7"/>
      <c r="K437" s="7"/>
      <c r="L437" s="7"/>
      <c r="M437" s="7"/>
      <c r="N437" s="7"/>
      <c r="O437" s="7"/>
      <c r="P437" s="7"/>
      <c r="Q437" s="7"/>
      <c r="R437" s="7"/>
      <c r="S437" s="7"/>
      <c r="T437" s="7"/>
      <c r="U437" s="7"/>
      <c r="V437" s="7"/>
      <c r="W437" s="7"/>
      <c r="X437" s="7"/>
      <c r="Y437" s="7"/>
      <c r="Z437" s="7"/>
      <c r="AA437" s="7"/>
    </row>
    <row r="438">
      <c r="A438" s="242"/>
      <c r="B438" s="242"/>
      <c r="C438" s="177"/>
      <c r="D438" s="177"/>
      <c r="E438" s="177"/>
      <c r="F438" s="177"/>
      <c r="G438" s="177"/>
      <c r="H438" s="148"/>
      <c r="I438" s="7"/>
      <c r="J438" s="7"/>
      <c r="K438" s="7"/>
      <c r="L438" s="7"/>
      <c r="M438" s="7"/>
      <c r="N438" s="7"/>
      <c r="O438" s="7"/>
      <c r="P438" s="7"/>
      <c r="Q438" s="7"/>
      <c r="R438" s="7"/>
      <c r="S438" s="7"/>
      <c r="T438" s="7"/>
      <c r="U438" s="7"/>
      <c r="V438" s="7"/>
      <c r="W438" s="7"/>
      <c r="X438" s="7"/>
      <c r="Y438" s="7"/>
      <c r="Z438" s="7"/>
      <c r="AA438" s="7"/>
    </row>
    <row r="439">
      <c r="A439" s="242"/>
      <c r="B439" s="242"/>
      <c r="C439" s="177"/>
      <c r="D439" s="177"/>
      <c r="E439" s="177"/>
      <c r="F439" s="177"/>
      <c r="G439" s="177"/>
      <c r="H439" s="148"/>
      <c r="I439" s="7"/>
      <c r="J439" s="7"/>
      <c r="K439" s="7"/>
      <c r="L439" s="7"/>
      <c r="M439" s="7"/>
      <c r="N439" s="7"/>
      <c r="O439" s="7"/>
      <c r="P439" s="7"/>
      <c r="Q439" s="7"/>
      <c r="R439" s="7"/>
      <c r="S439" s="7"/>
      <c r="T439" s="7"/>
      <c r="U439" s="7"/>
      <c r="V439" s="7"/>
      <c r="W439" s="7"/>
      <c r="X439" s="7"/>
      <c r="Y439" s="7"/>
      <c r="Z439" s="7"/>
      <c r="AA439" s="7"/>
    </row>
    <row r="440">
      <c r="A440" s="242"/>
      <c r="B440" s="242"/>
      <c r="C440" s="177"/>
      <c r="D440" s="177"/>
      <c r="E440" s="177"/>
      <c r="F440" s="177"/>
      <c r="G440" s="177"/>
      <c r="H440" s="148"/>
      <c r="I440" s="7"/>
      <c r="J440" s="7"/>
      <c r="K440" s="7"/>
      <c r="L440" s="7"/>
      <c r="M440" s="7"/>
      <c r="N440" s="7"/>
      <c r="O440" s="7"/>
      <c r="P440" s="7"/>
      <c r="Q440" s="7"/>
      <c r="R440" s="7"/>
      <c r="S440" s="7"/>
      <c r="T440" s="7"/>
      <c r="U440" s="7"/>
      <c r="V440" s="7"/>
      <c r="W440" s="7"/>
      <c r="X440" s="7"/>
      <c r="Y440" s="7"/>
      <c r="Z440" s="7"/>
      <c r="AA440" s="7"/>
    </row>
    <row r="441">
      <c r="A441" s="242"/>
      <c r="B441" s="242"/>
      <c r="C441" s="177"/>
      <c r="D441" s="177"/>
      <c r="E441" s="177"/>
      <c r="F441" s="177"/>
      <c r="G441" s="177"/>
      <c r="H441" s="148"/>
      <c r="I441" s="7"/>
      <c r="J441" s="7"/>
      <c r="K441" s="7"/>
      <c r="L441" s="7"/>
      <c r="M441" s="7"/>
      <c r="N441" s="7"/>
      <c r="O441" s="7"/>
      <c r="P441" s="7"/>
      <c r="Q441" s="7"/>
      <c r="R441" s="7"/>
      <c r="S441" s="7"/>
      <c r="T441" s="7"/>
      <c r="U441" s="7"/>
      <c r="V441" s="7"/>
      <c r="W441" s="7"/>
      <c r="X441" s="7"/>
      <c r="Y441" s="7"/>
      <c r="Z441" s="7"/>
      <c r="AA441" s="7"/>
    </row>
    <row r="442">
      <c r="A442" s="242"/>
      <c r="B442" s="242"/>
      <c r="C442" s="177"/>
      <c r="D442" s="177"/>
      <c r="E442" s="177"/>
      <c r="F442" s="177"/>
      <c r="G442" s="177"/>
      <c r="H442" s="148"/>
      <c r="I442" s="7"/>
      <c r="J442" s="7"/>
      <c r="K442" s="7"/>
      <c r="L442" s="7"/>
      <c r="M442" s="7"/>
      <c r="N442" s="7"/>
      <c r="O442" s="7"/>
      <c r="P442" s="7"/>
      <c r="Q442" s="7"/>
      <c r="R442" s="7"/>
      <c r="S442" s="7"/>
      <c r="T442" s="7"/>
      <c r="U442" s="7"/>
      <c r="V442" s="7"/>
      <c r="W442" s="7"/>
      <c r="X442" s="7"/>
      <c r="Y442" s="7"/>
      <c r="Z442" s="7"/>
      <c r="AA442" s="7"/>
    </row>
    <row r="443">
      <c r="A443" s="242"/>
      <c r="B443" s="242"/>
      <c r="C443" s="177"/>
      <c r="D443" s="177"/>
      <c r="E443" s="177"/>
      <c r="F443" s="177"/>
      <c r="G443" s="177"/>
      <c r="H443" s="148"/>
      <c r="I443" s="7"/>
      <c r="J443" s="7"/>
      <c r="K443" s="7"/>
      <c r="L443" s="7"/>
      <c r="M443" s="7"/>
      <c r="N443" s="7"/>
      <c r="O443" s="7"/>
      <c r="P443" s="7"/>
      <c r="Q443" s="7"/>
      <c r="R443" s="7"/>
      <c r="S443" s="7"/>
      <c r="T443" s="7"/>
      <c r="U443" s="7"/>
      <c r="V443" s="7"/>
      <c r="W443" s="7"/>
      <c r="X443" s="7"/>
      <c r="Y443" s="7"/>
      <c r="Z443" s="7"/>
      <c r="AA443" s="7"/>
    </row>
    <row r="444">
      <c r="A444" s="242"/>
      <c r="B444" s="242"/>
      <c r="C444" s="177"/>
      <c r="D444" s="177"/>
      <c r="E444" s="177"/>
      <c r="F444" s="177"/>
      <c r="G444" s="177"/>
      <c r="H444" s="148"/>
      <c r="I444" s="7"/>
      <c r="J444" s="7"/>
      <c r="K444" s="7"/>
      <c r="L444" s="7"/>
      <c r="M444" s="7"/>
      <c r="N444" s="7"/>
      <c r="O444" s="7"/>
      <c r="P444" s="7"/>
      <c r="Q444" s="7"/>
      <c r="R444" s="7"/>
      <c r="S444" s="7"/>
      <c r="T444" s="7"/>
      <c r="U444" s="7"/>
      <c r="V444" s="7"/>
      <c r="W444" s="7"/>
      <c r="X444" s="7"/>
      <c r="Y444" s="7"/>
      <c r="Z444" s="7"/>
      <c r="AA444" s="7"/>
    </row>
    <row r="445">
      <c r="A445" s="242"/>
      <c r="B445" s="242"/>
      <c r="C445" s="177"/>
      <c r="D445" s="177"/>
      <c r="E445" s="177"/>
      <c r="F445" s="177"/>
      <c r="G445" s="177"/>
      <c r="H445" s="148"/>
      <c r="I445" s="7"/>
      <c r="J445" s="7"/>
      <c r="K445" s="7"/>
      <c r="L445" s="7"/>
      <c r="M445" s="7"/>
      <c r="N445" s="7"/>
      <c r="O445" s="7"/>
      <c r="P445" s="7"/>
      <c r="Q445" s="7"/>
      <c r="R445" s="7"/>
      <c r="S445" s="7"/>
      <c r="T445" s="7"/>
      <c r="U445" s="7"/>
      <c r="V445" s="7"/>
      <c r="W445" s="7"/>
      <c r="X445" s="7"/>
      <c r="Y445" s="7"/>
      <c r="Z445" s="7"/>
      <c r="AA445" s="7"/>
    </row>
    <row r="446">
      <c r="A446" s="242"/>
      <c r="B446" s="242"/>
      <c r="C446" s="177"/>
      <c r="D446" s="177"/>
      <c r="E446" s="177"/>
      <c r="F446" s="177"/>
      <c r="G446" s="177"/>
      <c r="H446" s="148"/>
      <c r="I446" s="7"/>
      <c r="J446" s="7"/>
      <c r="K446" s="7"/>
      <c r="L446" s="7"/>
      <c r="M446" s="7"/>
      <c r="N446" s="7"/>
      <c r="O446" s="7"/>
      <c r="P446" s="7"/>
      <c r="Q446" s="7"/>
      <c r="R446" s="7"/>
      <c r="S446" s="7"/>
      <c r="T446" s="7"/>
      <c r="U446" s="7"/>
      <c r="V446" s="7"/>
      <c r="W446" s="7"/>
      <c r="X446" s="7"/>
      <c r="Y446" s="7"/>
      <c r="Z446" s="7"/>
      <c r="AA446" s="7"/>
    </row>
    <row r="447">
      <c r="A447" s="242"/>
      <c r="B447" s="242"/>
      <c r="C447" s="177"/>
      <c r="D447" s="177"/>
      <c r="E447" s="177"/>
      <c r="F447" s="177"/>
      <c r="G447" s="177"/>
      <c r="H447" s="148"/>
      <c r="I447" s="7"/>
      <c r="J447" s="7"/>
      <c r="K447" s="7"/>
      <c r="L447" s="7"/>
      <c r="M447" s="7"/>
      <c r="N447" s="7"/>
      <c r="O447" s="7"/>
      <c r="P447" s="7"/>
      <c r="Q447" s="7"/>
      <c r="R447" s="7"/>
      <c r="S447" s="7"/>
      <c r="T447" s="7"/>
      <c r="U447" s="7"/>
      <c r="V447" s="7"/>
      <c r="W447" s="7"/>
      <c r="X447" s="7"/>
      <c r="Y447" s="7"/>
      <c r="Z447" s="7"/>
      <c r="AA447" s="7"/>
    </row>
    <row r="448">
      <c r="A448" s="242"/>
      <c r="B448" s="242"/>
      <c r="C448" s="177"/>
      <c r="D448" s="177"/>
      <c r="E448" s="177"/>
      <c r="F448" s="177"/>
      <c r="G448" s="177"/>
      <c r="H448" s="148"/>
      <c r="I448" s="7"/>
      <c r="J448" s="7"/>
      <c r="K448" s="7"/>
      <c r="L448" s="7"/>
      <c r="M448" s="7"/>
      <c r="N448" s="7"/>
      <c r="O448" s="7"/>
      <c r="P448" s="7"/>
      <c r="Q448" s="7"/>
      <c r="R448" s="7"/>
      <c r="S448" s="7"/>
      <c r="T448" s="7"/>
      <c r="U448" s="7"/>
      <c r="V448" s="7"/>
      <c r="W448" s="7"/>
      <c r="X448" s="7"/>
      <c r="Y448" s="7"/>
      <c r="Z448" s="7"/>
      <c r="AA448" s="7"/>
    </row>
    <row r="449">
      <c r="A449" s="242"/>
      <c r="B449" s="242"/>
      <c r="C449" s="177"/>
      <c r="D449" s="177"/>
      <c r="E449" s="177"/>
      <c r="F449" s="177"/>
      <c r="G449" s="177"/>
      <c r="H449" s="148"/>
      <c r="I449" s="7"/>
      <c r="J449" s="7"/>
      <c r="K449" s="7"/>
      <c r="L449" s="7"/>
      <c r="M449" s="7"/>
      <c r="N449" s="7"/>
      <c r="O449" s="7"/>
      <c r="P449" s="7"/>
      <c r="Q449" s="7"/>
      <c r="R449" s="7"/>
      <c r="S449" s="7"/>
      <c r="T449" s="7"/>
      <c r="U449" s="7"/>
      <c r="V449" s="7"/>
      <c r="W449" s="7"/>
      <c r="X449" s="7"/>
      <c r="Y449" s="7"/>
      <c r="Z449" s="7"/>
      <c r="AA449" s="7"/>
    </row>
    <row r="450">
      <c r="A450" s="242"/>
      <c r="B450" s="242"/>
      <c r="C450" s="177"/>
      <c r="D450" s="177"/>
      <c r="E450" s="177"/>
      <c r="F450" s="177"/>
      <c r="G450" s="177"/>
      <c r="H450" s="148"/>
      <c r="I450" s="7"/>
      <c r="J450" s="7"/>
      <c r="K450" s="7"/>
      <c r="L450" s="7"/>
      <c r="M450" s="7"/>
      <c r="N450" s="7"/>
      <c r="O450" s="7"/>
      <c r="P450" s="7"/>
      <c r="Q450" s="7"/>
      <c r="R450" s="7"/>
      <c r="S450" s="7"/>
      <c r="T450" s="7"/>
      <c r="U450" s="7"/>
      <c r="V450" s="7"/>
      <c r="W450" s="7"/>
      <c r="X450" s="7"/>
      <c r="Y450" s="7"/>
      <c r="Z450" s="7"/>
      <c r="AA450" s="7"/>
    </row>
    <row r="451">
      <c r="A451" s="242"/>
      <c r="B451" s="242"/>
      <c r="C451" s="177"/>
      <c r="D451" s="177"/>
      <c r="E451" s="177"/>
      <c r="F451" s="177"/>
      <c r="G451" s="177"/>
      <c r="H451" s="148"/>
      <c r="I451" s="7"/>
      <c r="J451" s="7"/>
      <c r="K451" s="7"/>
      <c r="L451" s="7"/>
      <c r="M451" s="7"/>
      <c r="N451" s="7"/>
      <c r="O451" s="7"/>
      <c r="P451" s="7"/>
      <c r="Q451" s="7"/>
      <c r="R451" s="7"/>
      <c r="S451" s="7"/>
      <c r="T451" s="7"/>
      <c r="U451" s="7"/>
      <c r="V451" s="7"/>
      <c r="W451" s="7"/>
      <c r="X451" s="7"/>
      <c r="Y451" s="7"/>
      <c r="Z451" s="7"/>
      <c r="AA451" s="7"/>
    </row>
    <row r="452">
      <c r="A452" s="242"/>
      <c r="B452" s="242"/>
      <c r="C452" s="177"/>
      <c r="D452" s="177"/>
      <c r="E452" s="177"/>
      <c r="F452" s="177"/>
      <c r="G452" s="177"/>
      <c r="H452" s="148"/>
      <c r="I452" s="7"/>
      <c r="J452" s="7"/>
      <c r="K452" s="7"/>
      <c r="L452" s="7"/>
      <c r="M452" s="7"/>
      <c r="N452" s="7"/>
      <c r="O452" s="7"/>
      <c r="P452" s="7"/>
      <c r="Q452" s="7"/>
      <c r="R452" s="7"/>
      <c r="S452" s="7"/>
      <c r="T452" s="7"/>
      <c r="U452" s="7"/>
      <c r="V452" s="7"/>
      <c r="W452" s="7"/>
      <c r="X452" s="7"/>
      <c r="Y452" s="7"/>
      <c r="Z452" s="7"/>
      <c r="AA452" s="7"/>
    </row>
    <row r="453">
      <c r="A453" s="242"/>
      <c r="B453" s="242"/>
      <c r="C453" s="177"/>
      <c r="D453" s="177"/>
      <c r="E453" s="177"/>
      <c r="F453" s="177"/>
      <c r="G453" s="177"/>
      <c r="H453" s="148"/>
      <c r="I453" s="7"/>
      <c r="J453" s="7"/>
      <c r="K453" s="7"/>
      <c r="L453" s="7"/>
      <c r="M453" s="7"/>
      <c r="N453" s="7"/>
      <c r="O453" s="7"/>
      <c r="P453" s="7"/>
      <c r="Q453" s="7"/>
      <c r="R453" s="7"/>
      <c r="S453" s="7"/>
      <c r="T453" s="7"/>
      <c r="U453" s="7"/>
      <c r="V453" s="7"/>
      <c r="W453" s="7"/>
      <c r="X453" s="7"/>
      <c r="Y453" s="7"/>
      <c r="Z453" s="7"/>
      <c r="AA453" s="7"/>
    </row>
    <row r="454">
      <c r="A454" s="242"/>
      <c r="B454" s="242"/>
      <c r="C454" s="177"/>
      <c r="D454" s="177"/>
      <c r="E454" s="177"/>
      <c r="F454" s="177"/>
      <c r="G454" s="177"/>
      <c r="H454" s="148"/>
      <c r="I454" s="7"/>
      <c r="J454" s="7"/>
      <c r="K454" s="7"/>
      <c r="L454" s="7"/>
      <c r="M454" s="7"/>
      <c r="N454" s="7"/>
      <c r="O454" s="7"/>
      <c r="P454" s="7"/>
      <c r="Q454" s="7"/>
      <c r="R454" s="7"/>
      <c r="S454" s="7"/>
      <c r="T454" s="7"/>
      <c r="U454" s="7"/>
      <c r="V454" s="7"/>
      <c r="W454" s="7"/>
      <c r="X454" s="7"/>
      <c r="Y454" s="7"/>
      <c r="Z454" s="7"/>
      <c r="AA454" s="7"/>
    </row>
    <row r="455">
      <c r="A455" s="242"/>
      <c r="B455" s="242"/>
      <c r="C455" s="177"/>
      <c r="D455" s="177"/>
      <c r="E455" s="177"/>
      <c r="F455" s="177"/>
      <c r="G455" s="177"/>
      <c r="H455" s="148"/>
      <c r="I455" s="7"/>
      <c r="J455" s="7"/>
      <c r="K455" s="7"/>
      <c r="L455" s="7"/>
      <c r="M455" s="7"/>
      <c r="N455" s="7"/>
      <c r="O455" s="7"/>
      <c r="P455" s="7"/>
      <c r="Q455" s="7"/>
      <c r="R455" s="7"/>
      <c r="S455" s="7"/>
      <c r="T455" s="7"/>
      <c r="U455" s="7"/>
      <c r="V455" s="7"/>
      <c r="W455" s="7"/>
      <c r="X455" s="7"/>
      <c r="Y455" s="7"/>
      <c r="Z455" s="7"/>
      <c r="AA455" s="7"/>
    </row>
    <row r="456">
      <c r="A456" s="242"/>
      <c r="B456" s="242"/>
      <c r="C456" s="177"/>
      <c r="D456" s="177"/>
      <c r="E456" s="177"/>
      <c r="F456" s="177"/>
      <c r="G456" s="177"/>
      <c r="H456" s="148"/>
      <c r="I456" s="7"/>
      <c r="J456" s="7"/>
      <c r="K456" s="7"/>
      <c r="L456" s="7"/>
      <c r="M456" s="7"/>
      <c r="N456" s="7"/>
      <c r="O456" s="7"/>
      <c r="P456" s="7"/>
      <c r="Q456" s="7"/>
      <c r="R456" s="7"/>
      <c r="S456" s="7"/>
      <c r="T456" s="7"/>
      <c r="U456" s="7"/>
      <c r="V456" s="7"/>
      <c r="W456" s="7"/>
      <c r="X456" s="7"/>
      <c r="Y456" s="7"/>
      <c r="Z456" s="7"/>
      <c r="AA456" s="7"/>
    </row>
    <row r="457">
      <c r="A457" s="242"/>
      <c r="B457" s="242"/>
      <c r="C457" s="177"/>
      <c r="D457" s="177"/>
      <c r="E457" s="177"/>
      <c r="F457" s="177"/>
      <c r="G457" s="177"/>
      <c r="H457" s="148"/>
      <c r="I457" s="7"/>
      <c r="J457" s="7"/>
      <c r="K457" s="7"/>
      <c r="L457" s="7"/>
      <c r="M457" s="7"/>
      <c r="N457" s="7"/>
      <c r="O457" s="7"/>
      <c r="P457" s="7"/>
      <c r="Q457" s="7"/>
      <c r="R457" s="7"/>
      <c r="S457" s="7"/>
      <c r="T457" s="7"/>
      <c r="U457" s="7"/>
      <c r="V457" s="7"/>
      <c r="W457" s="7"/>
      <c r="X457" s="7"/>
      <c r="Y457" s="7"/>
      <c r="Z457" s="7"/>
      <c r="AA457" s="7"/>
    </row>
    <row r="458">
      <c r="A458" s="242"/>
      <c r="B458" s="242"/>
      <c r="C458" s="177"/>
      <c r="D458" s="177"/>
      <c r="E458" s="177"/>
      <c r="F458" s="177"/>
      <c r="G458" s="177"/>
      <c r="H458" s="148"/>
      <c r="I458" s="7"/>
      <c r="J458" s="7"/>
      <c r="K458" s="7"/>
      <c r="L458" s="7"/>
      <c r="M458" s="7"/>
      <c r="N458" s="7"/>
      <c r="O458" s="7"/>
      <c r="P458" s="7"/>
      <c r="Q458" s="7"/>
      <c r="R458" s="7"/>
      <c r="S458" s="7"/>
      <c r="T458" s="7"/>
      <c r="U458" s="7"/>
      <c r="V458" s="7"/>
      <c r="W458" s="7"/>
      <c r="X458" s="7"/>
      <c r="Y458" s="7"/>
      <c r="Z458" s="7"/>
      <c r="AA458" s="7"/>
    </row>
    <row r="459">
      <c r="A459" s="242"/>
      <c r="B459" s="242"/>
      <c r="C459" s="177"/>
      <c r="D459" s="177"/>
      <c r="E459" s="177"/>
      <c r="F459" s="177"/>
      <c r="G459" s="177"/>
      <c r="H459" s="148"/>
      <c r="I459" s="7"/>
      <c r="J459" s="7"/>
      <c r="K459" s="7"/>
      <c r="L459" s="7"/>
      <c r="M459" s="7"/>
      <c r="N459" s="7"/>
      <c r="O459" s="7"/>
      <c r="P459" s="7"/>
      <c r="Q459" s="7"/>
      <c r="R459" s="7"/>
      <c r="S459" s="7"/>
      <c r="T459" s="7"/>
      <c r="U459" s="7"/>
      <c r="V459" s="7"/>
      <c r="W459" s="7"/>
      <c r="X459" s="7"/>
      <c r="Y459" s="7"/>
      <c r="Z459" s="7"/>
      <c r="AA459" s="7"/>
    </row>
    <row r="460">
      <c r="A460" s="242"/>
      <c r="B460" s="242"/>
      <c r="C460" s="177"/>
      <c r="D460" s="177"/>
      <c r="E460" s="177"/>
      <c r="F460" s="177"/>
      <c r="G460" s="177"/>
      <c r="H460" s="148"/>
      <c r="I460" s="7"/>
      <c r="J460" s="7"/>
      <c r="K460" s="7"/>
      <c r="L460" s="7"/>
      <c r="M460" s="7"/>
      <c r="N460" s="7"/>
      <c r="O460" s="7"/>
      <c r="P460" s="7"/>
      <c r="Q460" s="7"/>
      <c r="R460" s="7"/>
      <c r="S460" s="7"/>
      <c r="T460" s="7"/>
      <c r="U460" s="7"/>
      <c r="V460" s="7"/>
      <c r="W460" s="7"/>
      <c r="X460" s="7"/>
      <c r="Y460" s="7"/>
      <c r="Z460" s="7"/>
      <c r="AA460" s="7"/>
    </row>
    <row r="461">
      <c r="A461" s="242"/>
      <c r="B461" s="242"/>
      <c r="C461" s="177"/>
      <c r="D461" s="177"/>
      <c r="E461" s="177"/>
      <c r="F461" s="177"/>
      <c r="G461" s="177"/>
      <c r="H461" s="148"/>
      <c r="I461" s="7"/>
      <c r="J461" s="7"/>
      <c r="K461" s="7"/>
      <c r="L461" s="7"/>
      <c r="M461" s="7"/>
      <c r="N461" s="7"/>
      <c r="O461" s="7"/>
      <c r="P461" s="7"/>
      <c r="Q461" s="7"/>
      <c r="R461" s="7"/>
      <c r="S461" s="7"/>
      <c r="T461" s="7"/>
      <c r="U461" s="7"/>
      <c r="V461" s="7"/>
      <c r="W461" s="7"/>
      <c r="X461" s="7"/>
      <c r="Y461" s="7"/>
      <c r="Z461" s="7"/>
      <c r="AA461" s="7"/>
    </row>
    <row r="462">
      <c r="A462" s="242"/>
      <c r="B462" s="242"/>
      <c r="C462" s="177"/>
      <c r="D462" s="177"/>
      <c r="E462" s="177"/>
      <c r="F462" s="177"/>
      <c r="G462" s="177"/>
      <c r="H462" s="148"/>
      <c r="I462" s="7"/>
      <c r="J462" s="7"/>
      <c r="K462" s="7"/>
      <c r="L462" s="7"/>
      <c r="M462" s="7"/>
      <c r="N462" s="7"/>
      <c r="O462" s="7"/>
      <c r="P462" s="7"/>
      <c r="Q462" s="7"/>
      <c r="R462" s="7"/>
      <c r="S462" s="7"/>
      <c r="T462" s="7"/>
      <c r="U462" s="7"/>
      <c r="V462" s="7"/>
      <c r="W462" s="7"/>
      <c r="X462" s="7"/>
      <c r="Y462" s="7"/>
      <c r="Z462" s="7"/>
      <c r="AA462" s="7"/>
    </row>
    <row r="463">
      <c r="A463" s="242"/>
      <c r="B463" s="242"/>
      <c r="C463" s="177"/>
      <c r="D463" s="177"/>
      <c r="E463" s="177"/>
      <c r="F463" s="177"/>
      <c r="G463" s="177"/>
      <c r="H463" s="148"/>
      <c r="I463" s="7"/>
      <c r="J463" s="7"/>
      <c r="K463" s="7"/>
      <c r="L463" s="7"/>
      <c r="M463" s="7"/>
      <c r="N463" s="7"/>
      <c r="O463" s="7"/>
      <c r="P463" s="7"/>
      <c r="Q463" s="7"/>
      <c r="R463" s="7"/>
      <c r="S463" s="7"/>
      <c r="T463" s="7"/>
      <c r="U463" s="7"/>
      <c r="V463" s="7"/>
      <c r="W463" s="7"/>
      <c r="X463" s="7"/>
      <c r="Y463" s="7"/>
      <c r="Z463" s="7"/>
      <c r="AA463" s="7"/>
    </row>
    <row r="464">
      <c r="A464" s="242"/>
      <c r="B464" s="242"/>
      <c r="C464" s="177"/>
      <c r="D464" s="177"/>
      <c r="E464" s="177"/>
      <c r="F464" s="177"/>
      <c r="G464" s="177"/>
      <c r="H464" s="148"/>
      <c r="I464" s="7"/>
      <c r="J464" s="7"/>
      <c r="K464" s="7"/>
      <c r="L464" s="7"/>
      <c r="M464" s="7"/>
      <c r="N464" s="7"/>
      <c r="O464" s="7"/>
      <c r="P464" s="7"/>
      <c r="Q464" s="7"/>
      <c r="R464" s="7"/>
      <c r="S464" s="7"/>
      <c r="T464" s="7"/>
      <c r="U464" s="7"/>
      <c r="V464" s="7"/>
      <c r="W464" s="7"/>
      <c r="X464" s="7"/>
      <c r="Y464" s="7"/>
      <c r="Z464" s="7"/>
      <c r="AA464" s="7"/>
    </row>
    <row r="465">
      <c r="A465" s="242"/>
      <c r="B465" s="242"/>
      <c r="C465" s="177"/>
      <c r="D465" s="177"/>
      <c r="E465" s="177"/>
      <c r="F465" s="177"/>
      <c r="G465" s="177"/>
      <c r="H465" s="148"/>
      <c r="I465" s="7"/>
      <c r="J465" s="7"/>
      <c r="K465" s="7"/>
      <c r="L465" s="7"/>
      <c r="M465" s="7"/>
      <c r="N465" s="7"/>
      <c r="O465" s="7"/>
      <c r="P465" s="7"/>
      <c r="Q465" s="7"/>
      <c r="R465" s="7"/>
      <c r="S465" s="7"/>
      <c r="T465" s="7"/>
      <c r="U465" s="7"/>
      <c r="V465" s="7"/>
      <c r="W465" s="7"/>
      <c r="X465" s="7"/>
      <c r="Y465" s="7"/>
      <c r="Z465" s="7"/>
      <c r="AA465" s="7"/>
    </row>
    <row r="466">
      <c r="A466" s="242"/>
      <c r="B466" s="242"/>
      <c r="C466" s="177"/>
      <c r="D466" s="177"/>
      <c r="E466" s="177"/>
      <c r="F466" s="177"/>
      <c r="G466" s="177"/>
      <c r="H466" s="148"/>
      <c r="I466" s="7"/>
      <c r="J466" s="7"/>
      <c r="K466" s="7"/>
      <c r="L466" s="7"/>
      <c r="M466" s="7"/>
      <c r="N466" s="7"/>
      <c r="O466" s="7"/>
      <c r="P466" s="7"/>
      <c r="Q466" s="7"/>
      <c r="R466" s="7"/>
      <c r="S466" s="7"/>
      <c r="T466" s="7"/>
      <c r="U466" s="7"/>
      <c r="V466" s="7"/>
      <c r="W466" s="7"/>
      <c r="X466" s="7"/>
      <c r="Y466" s="7"/>
      <c r="Z466" s="7"/>
      <c r="AA466" s="7"/>
    </row>
    <row r="467">
      <c r="A467" s="242"/>
      <c r="B467" s="242"/>
      <c r="C467" s="177"/>
      <c r="D467" s="177"/>
      <c r="E467" s="177"/>
      <c r="F467" s="177"/>
      <c r="G467" s="177"/>
      <c r="H467" s="148"/>
      <c r="I467" s="7"/>
      <c r="J467" s="7"/>
      <c r="K467" s="7"/>
      <c r="L467" s="7"/>
      <c r="M467" s="7"/>
      <c r="N467" s="7"/>
      <c r="O467" s="7"/>
      <c r="P467" s="7"/>
      <c r="Q467" s="7"/>
      <c r="R467" s="7"/>
      <c r="S467" s="7"/>
      <c r="T467" s="7"/>
      <c r="U467" s="7"/>
      <c r="V467" s="7"/>
      <c r="W467" s="7"/>
      <c r="X467" s="7"/>
      <c r="Y467" s="7"/>
      <c r="Z467" s="7"/>
      <c r="AA467" s="7"/>
    </row>
    <row r="468">
      <c r="A468" s="242"/>
      <c r="B468" s="242"/>
      <c r="C468" s="177"/>
      <c r="D468" s="177"/>
      <c r="E468" s="177"/>
      <c r="F468" s="177"/>
      <c r="G468" s="177"/>
      <c r="H468" s="148"/>
      <c r="I468" s="7"/>
      <c r="J468" s="7"/>
      <c r="K468" s="7"/>
      <c r="L468" s="7"/>
      <c r="M468" s="7"/>
      <c r="N468" s="7"/>
      <c r="O468" s="7"/>
      <c r="P468" s="7"/>
      <c r="Q468" s="7"/>
      <c r="R468" s="7"/>
      <c r="S468" s="7"/>
      <c r="T468" s="7"/>
      <c r="U468" s="7"/>
      <c r="V468" s="7"/>
      <c r="W468" s="7"/>
      <c r="X468" s="7"/>
      <c r="Y468" s="7"/>
      <c r="Z468" s="7"/>
      <c r="AA468" s="7"/>
    </row>
    <row r="469">
      <c r="A469" s="242"/>
      <c r="B469" s="242"/>
      <c r="C469" s="177"/>
      <c r="D469" s="177"/>
      <c r="E469" s="177"/>
      <c r="F469" s="177"/>
      <c r="G469" s="177"/>
      <c r="H469" s="148"/>
      <c r="I469" s="7"/>
      <c r="J469" s="7"/>
      <c r="K469" s="7"/>
      <c r="L469" s="7"/>
      <c r="M469" s="7"/>
      <c r="N469" s="7"/>
      <c r="O469" s="7"/>
      <c r="P469" s="7"/>
      <c r="Q469" s="7"/>
      <c r="R469" s="7"/>
      <c r="S469" s="7"/>
      <c r="T469" s="7"/>
      <c r="U469" s="7"/>
      <c r="V469" s="7"/>
      <c r="W469" s="7"/>
      <c r="X469" s="7"/>
      <c r="Y469" s="7"/>
      <c r="Z469" s="7"/>
      <c r="AA469" s="7"/>
    </row>
    <row r="470">
      <c r="A470" s="242"/>
      <c r="B470" s="242"/>
      <c r="C470" s="177"/>
      <c r="D470" s="177"/>
      <c r="E470" s="177"/>
      <c r="F470" s="177"/>
      <c r="G470" s="177"/>
      <c r="H470" s="148"/>
      <c r="I470" s="7"/>
      <c r="J470" s="7"/>
      <c r="K470" s="7"/>
      <c r="L470" s="7"/>
      <c r="M470" s="7"/>
      <c r="N470" s="7"/>
      <c r="O470" s="7"/>
      <c r="P470" s="7"/>
      <c r="Q470" s="7"/>
      <c r="R470" s="7"/>
      <c r="S470" s="7"/>
      <c r="T470" s="7"/>
      <c r="U470" s="7"/>
      <c r="V470" s="7"/>
      <c r="W470" s="7"/>
      <c r="X470" s="7"/>
      <c r="Y470" s="7"/>
      <c r="Z470" s="7"/>
      <c r="AA470" s="7"/>
    </row>
    <row r="471">
      <c r="A471" s="242"/>
      <c r="B471" s="242"/>
      <c r="C471" s="177"/>
      <c r="D471" s="177"/>
      <c r="E471" s="177"/>
      <c r="F471" s="177"/>
      <c r="G471" s="177"/>
      <c r="H471" s="148"/>
      <c r="I471" s="7"/>
      <c r="J471" s="7"/>
      <c r="K471" s="7"/>
      <c r="L471" s="7"/>
      <c r="M471" s="7"/>
      <c r="N471" s="7"/>
      <c r="O471" s="7"/>
      <c r="P471" s="7"/>
      <c r="Q471" s="7"/>
      <c r="R471" s="7"/>
      <c r="S471" s="7"/>
      <c r="T471" s="7"/>
      <c r="U471" s="7"/>
      <c r="V471" s="7"/>
      <c r="W471" s="7"/>
      <c r="X471" s="7"/>
      <c r="Y471" s="7"/>
      <c r="Z471" s="7"/>
      <c r="AA471" s="7"/>
    </row>
    <row r="472">
      <c r="A472" s="242"/>
      <c r="B472" s="242"/>
      <c r="C472" s="177"/>
      <c r="D472" s="177"/>
      <c r="E472" s="177"/>
      <c r="F472" s="177"/>
      <c r="G472" s="177"/>
      <c r="H472" s="148"/>
      <c r="I472" s="7"/>
      <c r="J472" s="7"/>
      <c r="K472" s="7"/>
      <c r="L472" s="7"/>
      <c r="M472" s="7"/>
      <c r="N472" s="7"/>
      <c r="O472" s="7"/>
      <c r="P472" s="7"/>
      <c r="Q472" s="7"/>
      <c r="R472" s="7"/>
      <c r="S472" s="7"/>
      <c r="T472" s="7"/>
      <c r="U472" s="7"/>
      <c r="V472" s="7"/>
      <c r="W472" s="7"/>
      <c r="X472" s="7"/>
      <c r="Y472" s="7"/>
      <c r="Z472" s="7"/>
      <c r="AA472" s="7"/>
    </row>
    <row r="473">
      <c r="A473" s="242"/>
      <c r="B473" s="242"/>
      <c r="C473" s="177"/>
      <c r="D473" s="177"/>
      <c r="E473" s="177"/>
      <c r="F473" s="177"/>
      <c r="G473" s="177"/>
      <c r="H473" s="148"/>
      <c r="I473" s="7"/>
      <c r="J473" s="7"/>
      <c r="K473" s="7"/>
      <c r="L473" s="7"/>
      <c r="M473" s="7"/>
      <c r="N473" s="7"/>
      <c r="O473" s="7"/>
      <c r="P473" s="7"/>
      <c r="Q473" s="7"/>
      <c r="R473" s="7"/>
      <c r="S473" s="7"/>
      <c r="T473" s="7"/>
      <c r="U473" s="7"/>
      <c r="V473" s="7"/>
      <c r="W473" s="7"/>
      <c r="X473" s="7"/>
      <c r="Y473" s="7"/>
      <c r="Z473" s="7"/>
      <c r="AA473" s="7"/>
    </row>
    <row r="474">
      <c r="A474" s="242"/>
      <c r="B474" s="242"/>
      <c r="C474" s="177"/>
      <c r="D474" s="177"/>
      <c r="E474" s="177"/>
      <c r="F474" s="177"/>
      <c r="G474" s="177"/>
      <c r="H474" s="148"/>
      <c r="I474" s="7"/>
      <c r="J474" s="7"/>
      <c r="K474" s="7"/>
      <c r="L474" s="7"/>
      <c r="M474" s="7"/>
      <c r="N474" s="7"/>
      <c r="O474" s="7"/>
      <c r="P474" s="7"/>
      <c r="Q474" s="7"/>
      <c r="R474" s="7"/>
      <c r="S474" s="7"/>
      <c r="T474" s="7"/>
      <c r="U474" s="7"/>
      <c r="V474" s="7"/>
      <c r="W474" s="7"/>
      <c r="X474" s="7"/>
      <c r="Y474" s="7"/>
      <c r="Z474" s="7"/>
      <c r="AA474" s="7"/>
    </row>
    <row r="475">
      <c r="A475" s="242"/>
      <c r="B475" s="242"/>
      <c r="C475" s="177"/>
      <c r="D475" s="177"/>
      <c r="E475" s="177"/>
      <c r="F475" s="177"/>
      <c r="G475" s="177"/>
      <c r="H475" s="148"/>
      <c r="I475" s="7"/>
      <c r="J475" s="7"/>
      <c r="K475" s="7"/>
      <c r="L475" s="7"/>
      <c r="M475" s="7"/>
      <c r="N475" s="7"/>
      <c r="O475" s="7"/>
      <c r="P475" s="7"/>
      <c r="Q475" s="7"/>
      <c r="R475" s="7"/>
      <c r="S475" s="7"/>
      <c r="T475" s="7"/>
      <c r="U475" s="7"/>
      <c r="V475" s="7"/>
      <c r="W475" s="7"/>
      <c r="X475" s="7"/>
      <c r="Y475" s="7"/>
      <c r="Z475" s="7"/>
      <c r="AA475" s="7"/>
    </row>
    <row r="476">
      <c r="A476" s="242"/>
      <c r="B476" s="242"/>
      <c r="C476" s="177"/>
      <c r="D476" s="177"/>
      <c r="E476" s="177"/>
      <c r="F476" s="177"/>
      <c r="G476" s="177"/>
      <c r="H476" s="148"/>
      <c r="I476" s="7"/>
      <c r="J476" s="7"/>
      <c r="K476" s="7"/>
      <c r="L476" s="7"/>
      <c r="M476" s="7"/>
      <c r="N476" s="7"/>
      <c r="O476" s="7"/>
      <c r="P476" s="7"/>
      <c r="Q476" s="7"/>
      <c r="R476" s="7"/>
      <c r="S476" s="7"/>
      <c r="T476" s="7"/>
      <c r="U476" s="7"/>
      <c r="V476" s="7"/>
      <c r="W476" s="7"/>
      <c r="X476" s="7"/>
      <c r="Y476" s="7"/>
      <c r="Z476" s="7"/>
      <c r="AA476" s="7"/>
    </row>
    <row r="477">
      <c r="A477" s="242"/>
      <c r="B477" s="242"/>
      <c r="C477" s="177"/>
      <c r="D477" s="177"/>
      <c r="E477" s="177"/>
      <c r="F477" s="177"/>
      <c r="G477" s="177"/>
      <c r="H477" s="148"/>
      <c r="I477" s="7"/>
      <c r="J477" s="7"/>
      <c r="K477" s="7"/>
      <c r="L477" s="7"/>
      <c r="M477" s="7"/>
      <c r="N477" s="7"/>
      <c r="O477" s="7"/>
      <c r="P477" s="7"/>
      <c r="Q477" s="7"/>
      <c r="R477" s="7"/>
      <c r="S477" s="7"/>
      <c r="T477" s="7"/>
      <c r="U477" s="7"/>
      <c r="V477" s="7"/>
      <c r="W477" s="7"/>
      <c r="X477" s="7"/>
      <c r="Y477" s="7"/>
      <c r="Z477" s="7"/>
      <c r="AA477" s="7"/>
    </row>
    <row r="478">
      <c r="A478" s="242"/>
      <c r="B478" s="242"/>
      <c r="C478" s="177"/>
      <c r="D478" s="177"/>
      <c r="E478" s="177"/>
      <c r="F478" s="177"/>
      <c r="G478" s="177"/>
      <c r="H478" s="148"/>
      <c r="I478" s="7"/>
      <c r="J478" s="7"/>
      <c r="K478" s="7"/>
      <c r="L478" s="7"/>
      <c r="M478" s="7"/>
      <c r="N478" s="7"/>
      <c r="O478" s="7"/>
      <c r="P478" s="7"/>
      <c r="Q478" s="7"/>
      <c r="R478" s="7"/>
      <c r="S478" s="7"/>
      <c r="T478" s="7"/>
      <c r="U478" s="7"/>
      <c r="V478" s="7"/>
      <c r="W478" s="7"/>
      <c r="X478" s="7"/>
      <c r="Y478" s="7"/>
      <c r="Z478" s="7"/>
      <c r="AA478" s="7"/>
    </row>
    <row r="479">
      <c r="A479" s="242"/>
      <c r="B479" s="242"/>
      <c r="C479" s="177"/>
      <c r="D479" s="177"/>
      <c r="E479" s="177"/>
      <c r="F479" s="177"/>
      <c r="G479" s="177"/>
      <c r="H479" s="148"/>
      <c r="I479" s="7"/>
      <c r="J479" s="7"/>
      <c r="K479" s="7"/>
      <c r="L479" s="7"/>
      <c r="M479" s="7"/>
      <c r="N479" s="7"/>
      <c r="O479" s="7"/>
      <c r="P479" s="7"/>
      <c r="Q479" s="7"/>
      <c r="R479" s="7"/>
      <c r="S479" s="7"/>
      <c r="T479" s="7"/>
      <c r="U479" s="7"/>
      <c r="V479" s="7"/>
      <c r="W479" s="7"/>
      <c r="X479" s="7"/>
      <c r="Y479" s="7"/>
      <c r="Z479" s="7"/>
      <c r="AA479" s="7"/>
    </row>
    <row r="480">
      <c r="A480" s="242"/>
      <c r="B480" s="242"/>
      <c r="C480" s="177"/>
      <c r="D480" s="177"/>
      <c r="E480" s="177"/>
      <c r="F480" s="177"/>
      <c r="G480" s="177"/>
      <c r="H480" s="148"/>
      <c r="I480" s="7"/>
      <c r="J480" s="7"/>
      <c r="K480" s="7"/>
      <c r="L480" s="7"/>
      <c r="M480" s="7"/>
      <c r="N480" s="7"/>
      <c r="O480" s="7"/>
      <c r="P480" s="7"/>
      <c r="Q480" s="7"/>
      <c r="R480" s="7"/>
      <c r="S480" s="7"/>
      <c r="T480" s="7"/>
      <c r="U480" s="7"/>
      <c r="V480" s="7"/>
      <c r="W480" s="7"/>
      <c r="X480" s="7"/>
      <c r="Y480" s="7"/>
      <c r="Z480" s="7"/>
      <c r="AA480" s="7"/>
    </row>
    <row r="481">
      <c r="A481" s="242"/>
      <c r="B481" s="242"/>
      <c r="C481" s="177"/>
      <c r="D481" s="177"/>
      <c r="E481" s="177"/>
      <c r="F481" s="177"/>
      <c r="G481" s="177"/>
      <c r="H481" s="148"/>
      <c r="I481" s="7"/>
      <c r="J481" s="7"/>
      <c r="K481" s="7"/>
      <c r="L481" s="7"/>
      <c r="M481" s="7"/>
      <c r="N481" s="7"/>
      <c r="O481" s="7"/>
      <c r="P481" s="7"/>
      <c r="Q481" s="7"/>
      <c r="R481" s="7"/>
      <c r="S481" s="7"/>
      <c r="T481" s="7"/>
      <c r="U481" s="7"/>
      <c r="V481" s="7"/>
      <c r="W481" s="7"/>
      <c r="X481" s="7"/>
      <c r="Y481" s="7"/>
      <c r="Z481" s="7"/>
      <c r="AA481" s="7"/>
    </row>
    <row r="482">
      <c r="A482" s="242"/>
      <c r="B482" s="242"/>
      <c r="C482" s="177"/>
      <c r="D482" s="177"/>
      <c r="E482" s="177"/>
      <c r="F482" s="177"/>
      <c r="G482" s="177"/>
      <c r="H482" s="148"/>
      <c r="I482" s="7"/>
      <c r="J482" s="7"/>
      <c r="K482" s="7"/>
      <c r="L482" s="7"/>
      <c r="M482" s="7"/>
      <c r="N482" s="7"/>
      <c r="O482" s="7"/>
      <c r="P482" s="7"/>
      <c r="Q482" s="7"/>
      <c r="R482" s="7"/>
      <c r="S482" s="7"/>
      <c r="T482" s="7"/>
      <c r="U482" s="7"/>
      <c r="V482" s="7"/>
      <c r="W482" s="7"/>
      <c r="X482" s="7"/>
      <c r="Y482" s="7"/>
      <c r="Z482" s="7"/>
      <c r="AA482" s="7"/>
    </row>
    <row r="483">
      <c r="A483" s="242"/>
      <c r="B483" s="242"/>
      <c r="C483" s="177"/>
      <c r="D483" s="177"/>
      <c r="E483" s="177"/>
      <c r="F483" s="177"/>
      <c r="G483" s="177"/>
      <c r="H483" s="148"/>
      <c r="I483" s="7"/>
      <c r="J483" s="7"/>
      <c r="K483" s="7"/>
      <c r="L483" s="7"/>
      <c r="M483" s="7"/>
      <c r="N483" s="7"/>
      <c r="O483" s="7"/>
      <c r="P483" s="7"/>
      <c r="Q483" s="7"/>
      <c r="R483" s="7"/>
      <c r="S483" s="7"/>
      <c r="T483" s="7"/>
      <c r="U483" s="7"/>
      <c r="V483" s="7"/>
      <c r="W483" s="7"/>
      <c r="X483" s="7"/>
      <c r="Y483" s="7"/>
      <c r="Z483" s="7"/>
      <c r="AA483" s="7"/>
    </row>
    <row r="484">
      <c r="A484" s="242"/>
      <c r="B484" s="242"/>
      <c r="C484" s="177"/>
      <c r="D484" s="177"/>
      <c r="E484" s="177"/>
      <c r="F484" s="177"/>
      <c r="G484" s="177"/>
      <c r="H484" s="148"/>
      <c r="I484" s="7"/>
      <c r="J484" s="7"/>
      <c r="K484" s="7"/>
      <c r="L484" s="7"/>
      <c r="M484" s="7"/>
      <c r="N484" s="7"/>
      <c r="O484" s="7"/>
      <c r="P484" s="7"/>
      <c r="Q484" s="7"/>
      <c r="R484" s="7"/>
      <c r="S484" s="7"/>
      <c r="T484" s="7"/>
      <c r="U484" s="7"/>
      <c r="V484" s="7"/>
      <c r="W484" s="7"/>
      <c r="X484" s="7"/>
      <c r="Y484" s="7"/>
      <c r="Z484" s="7"/>
      <c r="AA484" s="7"/>
    </row>
    <row r="485">
      <c r="A485" s="242"/>
      <c r="B485" s="242"/>
      <c r="C485" s="177"/>
      <c r="D485" s="177"/>
      <c r="E485" s="177"/>
      <c r="F485" s="177"/>
      <c r="G485" s="177"/>
      <c r="H485" s="148"/>
      <c r="I485" s="7"/>
      <c r="J485" s="7"/>
      <c r="K485" s="7"/>
      <c r="L485" s="7"/>
      <c r="M485" s="7"/>
      <c r="N485" s="7"/>
      <c r="O485" s="7"/>
      <c r="P485" s="7"/>
      <c r="Q485" s="7"/>
      <c r="R485" s="7"/>
      <c r="S485" s="7"/>
      <c r="T485" s="7"/>
      <c r="U485" s="7"/>
      <c r="V485" s="7"/>
      <c r="W485" s="7"/>
      <c r="X485" s="7"/>
      <c r="Y485" s="7"/>
      <c r="Z485" s="7"/>
      <c r="AA485" s="7"/>
    </row>
    <row r="486">
      <c r="A486" s="242"/>
      <c r="B486" s="242"/>
      <c r="C486" s="177"/>
      <c r="D486" s="177"/>
      <c r="E486" s="177"/>
      <c r="F486" s="177"/>
      <c r="G486" s="177"/>
      <c r="H486" s="148"/>
      <c r="I486" s="7"/>
      <c r="J486" s="7"/>
      <c r="K486" s="7"/>
      <c r="L486" s="7"/>
      <c r="M486" s="7"/>
      <c r="N486" s="7"/>
      <c r="O486" s="7"/>
      <c r="P486" s="7"/>
      <c r="Q486" s="7"/>
      <c r="R486" s="7"/>
      <c r="S486" s="7"/>
      <c r="T486" s="7"/>
      <c r="U486" s="7"/>
      <c r="V486" s="7"/>
      <c r="W486" s="7"/>
      <c r="X486" s="7"/>
      <c r="Y486" s="7"/>
      <c r="Z486" s="7"/>
      <c r="AA486" s="7"/>
    </row>
    <row r="487">
      <c r="A487" s="242"/>
      <c r="B487" s="242"/>
      <c r="C487" s="177"/>
      <c r="D487" s="177"/>
      <c r="E487" s="177"/>
      <c r="F487" s="177"/>
      <c r="G487" s="177"/>
      <c r="H487" s="148"/>
      <c r="I487" s="7"/>
      <c r="J487" s="7"/>
      <c r="K487" s="7"/>
      <c r="L487" s="7"/>
      <c r="M487" s="7"/>
      <c r="N487" s="7"/>
      <c r="O487" s="7"/>
      <c r="P487" s="7"/>
      <c r="Q487" s="7"/>
      <c r="R487" s="7"/>
      <c r="S487" s="7"/>
      <c r="T487" s="7"/>
      <c r="U487" s="7"/>
      <c r="V487" s="7"/>
      <c r="W487" s="7"/>
      <c r="X487" s="7"/>
      <c r="Y487" s="7"/>
      <c r="Z487" s="7"/>
      <c r="AA487" s="7"/>
    </row>
    <row r="488">
      <c r="A488" s="242"/>
      <c r="B488" s="242"/>
      <c r="C488" s="177"/>
      <c r="D488" s="177"/>
      <c r="E488" s="177"/>
      <c r="F488" s="177"/>
      <c r="G488" s="177"/>
      <c r="H488" s="148"/>
      <c r="I488" s="7"/>
      <c r="J488" s="7"/>
      <c r="K488" s="7"/>
      <c r="L488" s="7"/>
      <c r="M488" s="7"/>
      <c r="N488" s="7"/>
      <c r="O488" s="7"/>
      <c r="P488" s="7"/>
      <c r="Q488" s="7"/>
      <c r="R488" s="7"/>
      <c r="S488" s="7"/>
      <c r="T488" s="7"/>
      <c r="U488" s="7"/>
      <c r="V488" s="7"/>
      <c r="W488" s="7"/>
      <c r="X488" s="7"/>
      <c r="Y488" s="7"/>
      <c r="Z488" s="7"/>
      <c r="AA488" s="7"/>
    </row>
    <row r="489">
      <c r="A489" s="242"/>
      <c r="B489" s="242"/>
      <c r="C489" s="177"/>
      <c r="D489" s="177"/>
      <c r="E489" s="177"/>
      <c r="F489" s="177"/>
      <c r="G489" s="177"/>
      <c r="H489" s="148"/>
      <c r="I489" s="7"/>
      <c r="J489" s="7"/>
      <c r="K489" s="7"/>
      <c r="L489" s="7"/>
      <c r="M489" s="7"/>
      <c r="N489" s="7"/>
      <c r="O489" s="7"/>
      <c r="P489" s="7"/>
      <c r="Q489" s="7"/>
      <c r="R489" s="7"/>
      <c r="S489" s="7"/>
      <c r="T489" s="7"/>
      <c r="U489" s="7"/>
      <c r="V489" s="7"/>
      <c r="W489" s="7"/>
      <c r="X489" s="7"/>
      <c r="Y489" s="7"/>
      <c r="Z489" s="7"/>
      <c r="AA489" s="7"/>
    </row>
    <row r="490">
      <c r="A490" s="242"/>
      <c r="B490" s="242"/>
      <c r="C490" s="177"/>
      <c r="D490" s="177"/>
      <c r="E490" s="177"/>
      <c r="F490" s="177"/>
      <c r="G490" s="177"/>
      <c r="H490" s="148"/>
      <c r="I490" s="7"/>
      <c r="J490" s="7"/>
      <c r="K490" s="7"/>
      <c r="L490" s="7"/>
      <c r="M490" s="7"/>
      <c r="N490" s="7"/>
      <c r="O490" s="7"/>
      <c r="P490" s="7"/>
      <c r="Q490" s="7"/>
      <c r="R490" s="7"/>
      <c r="S490" s="7"/>
      <c r="T490" s="7"/>
      <c r="U490" s="7"/>
      <c r="V490" s="7"/>
      <c r="W490" s="7"/>
      <c r="X490" s="7"/>
      <c r="Y490" s="7"/>
      <c r="Z490" s="7"/>
      <c r="AA490" s="7"/>
    </row>
    <row r="491">
      <c r="A491" s="242"/>
      <c r="B491" s="242"/>
      <c r="C491" s="177"/>
      <c r="D491" s="177"/>
      <c r="E491" s="177"/>
      <c r="F491" s="177"/>
      <c r="G491" s="177"/>
      <c r="H491" s="148"/>
      <c r="I491" s="7"/>
      <c r="J491" s="7"/>
      <c r="K491" s="7"/>
      <c r="L491" s="7"/>
      <c r="M491" s="7"/>
      <c r="N491" s="7"/>
      <c r="O491" s="7"/>
      <c r="P491" s="7"/>
      <c r="Q491" s="7"/>
      <c r="R491" s="7"/>
      <c r="S491" s="7"/>
      <c r="T491" s="7"/>
      <c r="U491" s="7"/>
      <c r="V491" s="7"/>
      <c r="W491" s="7"/>
      <c r="X491" s="7"/>
      <c r="Y491" s="7"/>
      <c r="Z491" s="7"/>
      <c r="AA491" s="7"/>
    </row>
    <row r="492">
      <c r="A492" s="242"/>
      <c r="B492" s="242"/>
      <c r="C492" s="177"/>
      <c r="D492" s="177"/>
      <c r="E492" s="177"/>
      <c r="F492" s="177"/>
      <c r="G492" s="177"/>
      <c r="H492" s="148"/>
      <c r="I492" s="7"/>
      <c r="J492" s="7"/>
      <c r="K492" s="7"/>
      <c r="L492" s="7"/>
      <c r="M492" s="7"/>
      <c r="N492" s="7"/>
      <c r="O492" s="7"/>
      <c r="P492" s="7"/>
      <c r="Q492" s="7"/>
      <c r="R492" s="7"/>
      <c r="S492" s="7"/>
      <c r="T492" s="7"/>
      <c r="U492" s="7"/>
      <c r="V492" s="7"/>
      <c r="W492" s="7"/>
      <c r="X492" s="7"/>
      <c r="Y492" s="7"/>
      <c r="Z492" s="7"/>
      <c r="AA492" s="7"/>
    </row>
    <row r="493">
      <c r="A493" s="242"/>
      <c r="B493" s="242"/>
      <c r="C493" s="177"/>
      <c r="D493" s="177"/>
      <c r="E493" s="177"/>
      <c r="F493" s="177"/>
      <c r="G493" s="177"/>
      <c r="H493" s="148"/>
      <c r="I493" s="7"/>
      <c r="J493" s="7"/>
      <c r="K493" s="7"/>
      <c r="L493" s="7"/>
      <c r="M493" s="7"/>
      <c r="N493" s="7"/>
      <c r="O493" s="7"/>
      <c r="P493" s="7"/>
      <c r="Q493" s="7"/>
      <c r="R493" s="7"/>
      <c r="S493" s="7"/>
      <c r="T493" s="7"/>
      <c r="U493" s="7"/>
      <c r="V493" s="7"/>
      <c r="W493" s="7"/>
      <c r="X493" s="7"/>
      <c r="Y493" s="7"/>
      <c r="Z493" s="7"/>
      <c r="AA493" s="7"/>
    </row>
    <row r="494">
      <c r="A494" s="242"/>
      <c r="B494" s="242"/>
      <c r="C494" s="177"/>
      <c r="D494" s="177"/>
      <c r="E494" s="177"/>
      <c r="F494" s="177"/>
      <c r="G494" s="177"/>
      <c r="H494" s="148"/>
      <c r="I494" s="7"/>
      <c r="J494" s="7"/>
      <c r="K494" s="7"/>
      <c r="L494" s="7"/>
      <c r="M494" s="7"/>
      <c r="N494" s="7"/>
      <c r="O494" s="7"/>
      <c r="P494" s="7"/>
      <c r="Q494" s="7"/>
      <c r="R494" s="7"/>
      <c r="S494" s="7"/>
      <c r="T494" s="7"/>
      <c r="U494" s="7"/>
      <c r="V494" s="7"/>
      <c r="W494" s="7"/>
      <c r="X494" s="7"/>
      <c r="Y494" s="7"/>
      <c r="Z494" s="7"/>
      <c r="AA494" s="7"/>
    </row>
    <row r="495">
      <c r="A495" s="242"/>
      <c r="B495" s="242"/>
      <c r="C495" s="177"/>
      <c r="D495" s="177"/>
      <c r="E495" s="177"/>
      <c r="F495" s="177"/>
      <c r="G495" s="177"/>
      <c r="H495" s="148"/>
      <c r="I495" s="7"/>
      <c r="J495" s="7"/>
      <c r="K495" s="7"/>
      <c r="L495" s="7"/>
      <c r="M495" s="7"/>
      <c r="N495" s="7"/>
      <c r="O495" s="7"/>
      <c r="P495" s="7"/>
      <c r="Q495" s="7"/>
      <c r="R495" s="7"/>
      <c r="S495" s="7"/>
      <c r="T495" s="7"/>
      <c r="U495" s="7"/>
      <c r="V495" s="7"/>
      <c r="W495" s="7"/>
      <c r="X495" s="7"/>
      <c r="Y495" s="7"/>
      <c r="Z495" s="7"/>
      <c r="AA495" s="7"/>
    </row>
    <row r="496">
      <c r="A496" s="242"/>
      <c r="B496" s="242"/>
      <c r="C496" s="177"/>
      <c r="D496" s="177"/>
      <c r="E496" s="177"/>
      <c r="F496" s="177"/>
      <c r="G496" s="177"/>
      <c r="H496" s="148"/>
      <c r="I496" s="7"/>
      <c r="J496" s="7"/>
      <c r="K496" s="7"/>
      <c r="L496" s="7"/>
      <c r="M496" s="7"/>
      <c r="N496" s="7"/>
      <c r="O496" s="7"/>
      <c r="P496" s="7"/>
      <c r="Q496" s="7"/>
      <c r="R496" s="7"/>
      <c r="S496" s="7"/>
      <c r="T496" s="7"/>
      <c r="U496" s="7"/>
      <c r="V496" s="7"/>
      <c r="W496" s="7"/>
      <c r="X496" s="7"/>
      <c r="Y496" s="7"/>
      <c r="Z496" s="7"/>
      <c r="AA496" s="7"/>
    </row>
    <row r="497">
      <c r="A497" s="242"/>
      <c r="B497" s="242"/>
      <c r="C497" s="177"/>
      <c r="D497" s="177"/>
      <c r="E497" s="177"/>
      <c r="F497" s="177"/>
      <c r="G497" s="177"/>
      <c r="H497" s="148"/>
      <c r="I497" s="7"/>
      <c r="J497" s="7"/>
      <c r="K497" s="7"/>
      <c r="L497" s="7"/>
      <c r="M497" s="7"/>
      <c r="N497" s="7"/>
      <c r="O497" s="7"/>
      <c r="P497" s="7"/>
      <c r="Q497" s="7"/>
      <c r="R497" s="7"/>
      <c r="S497" s="7"/>
      <c r="T497" s="7"/>
      <c r="U497" s="7"/>
      <c r="V497" s="7"/>
      <c r="W497" s="7"/>
      <c r="X497" s="7"/>
      <c r="Y497" s="7"/>
      <c r="Z497" s="7"/>
      <c r="AA497" s="7"/>
    </row>
    <row r="498">
      <c r="A498" s="242"/>
      <c r="B498" s="242"/>
      <c r="C498" s="177"/>
      <c r="D498" s="177"/>
      <c r="E498" s="177"/>
      <c r="F498" s="177"/>
      <c r="G498" s="177"/>
      <c r="H498" s="148"/>
      <c r="I498" s="7"/>
      <c r="J498" s="7"/>
      <c r="K498" s="7"/>
      <c r="L498" s="7"/>
      <c r="M498" s="7"/>
      <c r="N498" s="7"/>
      <c r="O498" s="7"/>
      <c r="P498" s="7"/>
      <c r="Q498" s="7"/>
      <c r="R498" s="7"/>
      <c r="S498" s="7"/>
      <c r="T498" s="7"/>
      <c r="U498" s="7"/>
      <c r="V498" s="7"/>
      <c r="W498" s="7"/>
      <c r="X498" s="7"/>
      <c r="Y498" s="7"/>
      <c r="Z498" s="7"/>
      <c r="AA498" s="7"/>
    </row>
    <row r="499">
      <c r="A499" s="242"/>
      <c r="B499" s="242"/>
      <c r="C499" s="177"/>
      <c r="D499" s="177"/>
      <c r="E499" s="177"/>
      <c r="F499" s="177"/>
      <c r="G499" s="177"/>
      <c r="H499" s="148"/>
      <c r="I499" s="7"/>
      <c r="J499" s="7"/>
      <c r="K499" s="7"/>
      <c r="L499" s="7"/>
      <c r="M499" s="7"/>
      <c r="N499" s="7"/>
      <c r="O499" s="7"/>
      <c r="P499" s="7"/>
      <c r="Q499" s="7"/>
      <c r="R499" s="7"/>
      <c r="S499" s="7"/>
      <c r="T499" s="7"/>
      <c r="U499" s="7"/>
      <c r="V499" s="7"/>
      <c r="W499" s="7"/>
      <c r="X499" s="7"/>
      <c r="Y499" s="7"/>
      <c r="Z499" s="7"/>
      <c r="AA499" s="7"/>
    </row>
    <row r="500">
      <c r="A500" s="242"/>
      <c r="B500" s="242"/>
      <c r="C500" s="177"/>
      <c r="D500" s="177"/>
      <c r="E500" s="177"/>
      <c r="F500" s="177"/>
      <c r="G500" s="177"/>
      <c r="H500" s="148"/>
      <c r="I500" s="7"/>
      <c r="J500" s="7"/>
      <c r="K500" s="7"/>
      <c r="L500" s="7"/>
      <c r="M500" s="7"/>
      <c r="N500" s="7"/>
      <c r="O500" s="7"/>
      <c r="P500" s="7"/>
      <c r="Q500" s="7"/>
      <c r="R500" s="7"/>
      <c r="S500" s="7"/>
      <c r="T500" s="7"/>
      <c r="U500" s="7"/>
      <c r="V500" s="7"/>
      <c r="W500" s="7"/>
      <c r="X500" s="7"/>
      <c r="Y500" s="7"/>
      <c r="Z500" s="7"/>
      <c r="AA500" s="7"/>
    </row>
    <row r="501">
      <c r="A501" s="242"/>
      <c r="B501" s="242"/>
      <c r="C501" s="177"/>
      <c r="D501" s="177"/>
      <c r="E501" s="177"/>
      <c r="F501" s="177"/>
      <c r="G501" s="177"/>
      <c r="H501" s="148"/>
      <c r="I501" s="7"/>
      <c r="J501" s="7"/>
      <c r="K501" s="7"/>
      <c r="L501" s="7"/>
      <c r="M501" s="7"/>
      <c r="N501" s="7"/>
      <c r="O501" s="7"/>
      <c r="P501" s="7"/>
      <c r="Q501" s="7"/>
      <c r="R501" s="7"/>
      <c r="S501" s="7"/>
      <c r="T501" s="7"/>
      <c r="U501" s="7"/>
      <c r="V501" s="7"/>
      <c r="W501" s="7"/>
      <c r="X501" s="7"/>
      <c r="Y501" s="7"/>
      <c r="Z501" s="7"/>
      <c r="AA501" s="7"/>
    </row>
    <row r="502">
      <c r="A502" s="242"/>
      <c r="B502" s="242"/>
      <c r="C502" s="177"/>
      <c r="D502" s="177"/>
      <c r="E502" s="177"/>
      <c r="F502" s="177"/>
      <c r="G502" s="177"/>
      <c r="H502" s="148"/>
      <c r="I502" s="7"/>
      <c r="J502" s="7"/>
      <c r="K502" s="7"/>
      <c r="L502" s="7"/>
      <c r="M502" s="7"/>
      <c r="N502" s="7"/>
      <c r="O502" s="7"/>
      <c r="P502" s="7"/>
      <c r="Q502" s="7"/>
      <c r="R502" s="7"/>
      <c r="S502" s="7"/>
      <c r="T502" s="7"/>
      <c r="U502" s="7"/>
      <c r="V502" s="7"/>
      <c r="W502" s="7"/>
      <c r="X502" s="7"/>
      <c r="Y502" s="7"/>
      <c r="Z502" s="7"/>
      <c r="AA502" s="7"/>
    </row>
    <row r="503">
      <c r="A503" s="242"/>
      <c r="B503" s="242"/>
      <c r="C503" s="177"/>
      <c r="D503" s="177"/>
      <c r="E503" s="177"/>
      <c r="F503" s="177"/>
      <c r="G503" s="177"/>
      <c r="H503" s="148"/>
      <c r="I503" s="7"/>
      <c r="J503" s="7"/>
      <c r="K503" s="7"/>
      <c r="L503" s="7"/>
      <c r="M503" s="7"/>
      <c r="N503" s="7"/>
      <c r="O503" s="7"/>
      <c r="P503" s="7"/>
      <c r="Q503" s="7"/>
      <c r="R503" s="7"/>
      <c r="S503" s="7"/>
      <c r="T503" s="7"/>
      <c r="U503" s="7"/>
      <c r="V503" s="7"/>
      <c r="W503" s="7"/>
      <c r="X503" s="7"/>
      <c r="Y503" s="7"/>
      <c r="Z503" s="7"/>
      <c r="AA503" s="7"/>
    </row>
    <row r="504">
      <c r="A504" s="242"/>
      <c r="B504" s="242"/>
      <c r="C504" s="177"/>
      <c r="D504" s="177"/>
      <c r="E504" s="177"/>
      <c r="F504" s="177"/>
      <c r="G504" s="177"/>
      <c r="H504" s="148"/>
      <c r="I504" s="7"/>
      <c r="J504" s="7"/>
      <c r="K504" s="7"/>
      <c r="L504" s="7"/>
      <c r="M504" s="7"/>
      <c r="N504" s="7"/>
      <c r="O504" s="7"/>
      <c r="P504" s="7"/>
      <c r="Q504" s="7"/>
      <c r="R504" s="7"/>
      <c r="S504" s="7"/>
      <c r="T504" s="7"/>
      <c r="U504" s="7"/>
      <c r="V504" s="7"/>
      <c r="W504" s="7"/>
      <c r="X504" s="7"/>
      <c r="Y504" s="7"/>
      <c r="Z504" s="7"/>
      <c r="AA504" s="7"/>
    </row>
    <row r="505">
      <c r="A505" s="242"/>
      <c r="B505" s="242"/>
      <c r="C505" s="177"/>
      <c r="D505" s="177"/>
      <c r="E505" s="177"/>
      <c r="F505" s="177"/>
      <c r="G505" s="177"/>
      <c r="H505" s="148"/>
      <c r="I505" s="7"/>
      <c r="J505" s="7"/>
      <c r="K505" s="7"/>
      <c r="L505" s="7"/>
      <c r="M505" s="7"/>
      <c r="N505" s="7"/>
      <c r="O505" s="7"/>
      <c r="P505" s="7"/>
      <c r="Q505" s="7"/>
      <c r="R505" s="7"/>
      <c r="S505" s="7"/>
      <c r="T505" s="7"/>
      <c r="U505" s="7"/>
      <c r="V505" s="7"/>
      <c r="W505" s="7"/>
      <c r="X505" s="7"/>
      <c r="Y505" s="7"/>
      <c r="Z505" s="7"/>
      <c r="AA505" s="7"/>
    </row>
    <row r="506">
      <c r="A506" s="242"/>
      <c r="B506" s="242"/>
      <c r="C506" s="177"/>
      <c r="D506" s="177"/>
      <c r="E506" s="177"/>
      <c r="F506" s="177"/>
      <c r="G506" s="177"/>
      <c r="H506" s="148"/>
      <c r="I506" s="7"/>
      <c r="J506" s="7"/>
      <c r="K506" s="7"/>
      <c r="L506" s="7"/>
      <c r="M506" s="7"/>
      <c r="N506" s="7"/>
      <c r="O506" s="7"/>
      <c r="P506" s="7"/>
      <c r="Q506" s="7"/>
      <c r="R506" s="7"/>
      <c r="S506" s="7"/>
      <c r="T506" s="7"/>
      <c r="U506" s="7"/>
      <c r="V506" s="7"/>
      <c r="W506" s="7"/>
      <c r="X506" s="7"/>
      <c r="Y506" s="7"/>
      <c r="Z506" s="7"/>
      <c r="AA506" s="7"/>
    </row>
    <row r="507">
      <c r="A507" s="242"/>
      <c r="B507" s="242"/>
      <c r="C507" s="177"/>
      <c r="D507" s="177"/>
      <c r="E507" s="177"/>
      <c r="F507" s="177"/>
      <c r="G507" s="177"/>
      <c r="H507" s="148"/>
      <c r="I507" s="7"/>
      <c r="J507" s="7"/>
      <c r="K507" s="7"/>
      <c r="L507" s="7"/>
      <c r="M507" s="7"/>
      <c r="N507" s="7"/>
      <c r="O507" s="7"/>
      <c r="P507" s="7"/>
      <c r="Q507" s="7"/>
      <c r="R507" s="7"/>
      <c r="S507" s="7"/>
      <c r="T507" s="7"/>
      <c r="U507" s="7"/>
      <c r="V507" s="7"/>
      <c r="W507" s="7"/>
      <c r="X507" s="7"/>
      <c r="Y507" s="7"/>
      <c r="Z507" s="7"/>
      <c r="AA507" s="7"/>
    </row>
    <row r="508">
      <c r="A508" s="242"/>
      <c r="B508" s="242"/>
      <c r="C508" s="177"/>
      <c r="D508" s="177"/>
      <c r="E508" s="177"/>
      <c r="F508" s="177"/>
      <c r="G508" s="177"/>
      <c r="H508" s="148"/>
      <c r="I508" s="7"/>
      <c r="J508" s="7"/>
      <c r="K508" s="7"/>
      <c r="L508" s="7"/>
      <c r="M508" s="7"/>
      <c r="N508" s="7"/>
      <c r="O508" s="7"/>
      <c r="P508" s="7"/>
      <c r="Q508" s="7"/>
      <c r="R508" s="7"/>
      <c r="S508" s="7"/>
      <c r="T508" s="7"/>
      <c r="U508" s="7"/>
      <c r="V508" s="7"/>
      <c r="W508" s="7"/>
      <c r="X508" s="7"/>
      <c r="Y508" s="7"/>
      <c r="Z508" s="7"/>
      <c r="AA508" s="7"/>
    </row>
    <row r="509">
      <c r="A509" s="242"/>
      <c r="B509" s="242"/>
      <c r="C509" s="177"/>
      <c r="D509" s="177"/>
      <c r="E509" s="177"/>
      <c r="F509" s="177"/>
      <c r="G509" s="177"/>
      <c r="H509" s="148"/>
      <c r="I509" s="7"/>
      <c r="J509" s="7"/>
      <c r="K509" s="7"/>
      <c r="L509" s="7"/>
      <c r="M509" s="7"/>
      <c r="N509" s="7"/>
      <c r="O509" s="7"/>
      <c r="P509" s="7"/>
      <c r="Q509" s="7"/>
      <c r="R509" s="7"/>
      <c r="S509" s="7"/>
      <c r="T509" s="7"/>
      <c r="U509" s="7"/>
      <c r="V509" s="7"/>
      <c r="W509" s="7"/>
      <c r="X509" s="7"/>
      <c r="Y509" s="7"/>
      <c r="Z509" s="7"/>
      <c r="AA509" s="7"/>
    </row>
    <row r="510">
      <c r="A510" s="242"/>
      <c r="B510" s="242"/>
      <c r="C510" s="177"/>
      <c r="D510" s="177"/>
      <c r="E510" s="177"/>
      <c r="F510" s="177"/>
      <c r="G510" s="177"/>
      <c r="H510" s="148"/>
      <c r="I510" s="7"/>
      <c r="J510" s="7"/>
      <c r="K510" s="7"/>
      <c r="L510" s="7"/>
      <c r="M510" s="7"/>
      <c r="N510" s="7"/>
      <c r="O510" s="7"/>
      <c r="P510" s="7"/>
      <c r="Q510" s="7"/>
      <c r="R510" s="7"/>
      <c r="S510" s="7"/>
      <c r="T510" s="7"/>
      <c r="U510" s="7"/>
      <c r="V510" s="7"/>
      <c r="W510" s="7"/>
      <c r="X510" s="7"/>
      <c r="Y510" s="7"/>
      <c r="Z510" s="7"/>
      <c r="AA510" s="7"/>
    </row>
    <row r="511">
      <c r="A511" s="242"/>
      <c r="B511" s="242"/>
      <c r="C511" s="177"/>
      <c r="D511" s="177"/>
      <c r="E511" s="177"/>
      <c r="F511" s="177"/>
      <c r="G511" s="177"/>
      <c r="H511" s="148"/>
      <c r="I511" s="7"/>
      <c r="J511" s="7"/>
      <c r="K511" s="7"/>
      <c r="L511" s="7"/>
      <c r="M511" s="7"/>
      <c r="N511" s="7"/>
      <c r="O511" s="7"/>
      <c r="P511" s="7"/>
      <c r="Q511" s="7"/>
      <c r="R511" s="7"/>
      <c r="S511" s="7"/>
      <c r="T511" s="7"/>
      <c r="U511" s="7"/>
      <c r="V511" s="7"/>
      <c r="W511" s="7"/>
      <c r="X511" s="7"/>
      <c r="Y511" s="7"/>
      <c r="Z511" s="7"/>
      <c r="AA511" s="7"/>
    </row>
    <row r="512">
      <c r="A512" s="242"/>
      <c r="B512" s="242"/>
      <c r="C512" s="177"/>
      <c r="D512" s="177"/>
      <c r="E512" s="177"/>
      <c r="F512" s="177"/>
      <c r="G512" s="177"/>
      <c r="H512" s="148"/>
      <c r="I512" s="7"/>
      <c r="J512" s="7"/>
      <c r="K512" s="7"/>
      <c r="L512" s="7"/>
      <c r="M512" s="7"/>
      <c r="N512" s="7"/>
      <c r="O512" s="7"/>
      <c r="P512" s="7"/>
      <c r="Q512" s="7"/>
      <c r="R512" s="7"/>
      <c r="S512" s="7"/>
      <c r="T512" s="7"/>
      <c r="U512" s="7"/>
      <c r="V512" s="7"/>
      <c r="W512" s="7"/>
      <c r="X512" s="7"/>
      <c r="Y512" s="7"/>
      <c r="Z512" s="7"/>
      <c r="AA512" s="7"/>
    </row>
    <row r="513">
      <c r="A513" s="242"/>
      <c r="B513" s="242"/>
      <c r="C513" s="177"/>
      <c r="D513" s="177"/>
      <c r="E513" s="177"/>
      <c r="F513" s="177"/>
      <c r="G513" s="177"/>
      <c r="H513" s="148"/>
      <c r="I513" s="7"/>
      <c r="J513" s="7"/>
      <c r="K513" s="7"/>
      <c r="L513" s="7"/>
      <c r="M513" s="7"/>
      <c r="N513" s="7"/>
      <c r="O513" s="7"/>
      <c r="P513" s="7"/>
      <c r="Q513" s="7"/>
      <c r="R513" s="7"/>
      <c r="S513" s="7"/>
      <c r="T513" s="7"/>
      <c r="U513" s="7"/>
      <c r="V513" s="7"/>
      <c r="W513" s="7"/>
      <c r="X513" s="7"/>
      <c r="Y513" s="7"/>
      <c r="Z513" s="7"/>
      <c r="AA513" s="7"/>
    </row>
    <row r="514">
      <c r="A514" s="242"/>
      <c r="B514" s="242"/>
      <c r="C514" s="177"/>
      <c r="D514" s="177"/>
      <c r="E514" s="177"/>
      <c r="F514" s="177"/>
      <c r="G514" s="177"/>
      <c r="H514" s="148"/>
      <c r="I514" s="7"/>
      <c r="J514" s="7"/>
      <c r="K514" s="7"/>
      <c r="L514" s="7"/>
      <c r="M514" s="7"/>
      <c r="N514" s="7"/>
      <c r="O514" s="7"/>
      <c r="P514" s="7"/>
      <c r="Q514" s="7"/>
      <c r="R514" s="7"/>
      <c r="S514" s="7"/>
      <c r="T514" s="7"/>
      <c r="U514" s="7"/>
      <c r="V514" s="7"/>
      <c r="W514" s="7"/>
      <c r="X514" s="7"/>
      <c r="Y514" s="7"/>
      <c r="Z514" s="7"/>
      <c r="AA514" s="7"/>
    </row>
    <row r="515">
      <c r="A515" s="242"/>
      <c r="B515" s="242"/>
      <c r="C515" s="177"/>
      <c r="D515" s="177"/>
      <c r="E515" s="177"/>
      <c r="F515" s="177"/>
      <c r="G515" s="177"/>
      <c r="H515" s="148"/>
      <c r="I515" s="7"/>
      <c r="J515" s="7"/>
      <c r="K515" s="7"/>
      <c r="L515" s="7"/>
      <c r="M515" s="7"/>
      <c r="N515" s="7"/>
      <c r="O515" s="7"/>
      <c r="P515" s="7"/>
      <c r="Q515" s="7"/>
      <c r="R515" s="7"/>
      <c r="S515" s="7"/>
      <c r="T515" s="7"/>
      <c r="U515" s="7"/>
      <c r="V515" s="7"/>
      <c r="W515" s="7"/>
      <c r="X515" s="7"/>
      <c r="Y515" s="7"/>
      <c r="Z515" s="7"/>
      <c r="AA515" s="7"/>
    </row>
    <row r="516">
      <c r="A516" s="242"/>
      <c r="B516" s="242"/>
      <c r="C516" s="177"/>
      <c r="D516" s="177"/>
      <c r="E516" s="177"/>
      <c r="F516" s="177"/>
      <c r="G516" s="177"/>
      <c r="H516" s="148"/>
      <c r="I516" s="7"/>
      <c r="J516" s="7"/>
      <c r="K516" s="7"/>
      <c r="L516" s="7"/>
      <c r="M516" s="7"/>
      <c r="N516" s="7"/>
      <c r="O516" s="7"/>
      <c r="P516" s="7"/>
      <c r="Q516" s="7"/>
      <c r="R516" s="7"/>
      <c r="S516" s="7"/>
      <c r="T516" s="7"/>
      <c r="U516" s="7"/>
      <c r="V516" s="7"/>
      <c r="W516" s="7"/>
      <c r="X516" s="7"/>
      <c r="Y516" s="7"/>
      <c r="Z516" s="7"/>
      <c r="AA516" s="7"/>
    </row>
    <row r="517">
      <c r="A517" s="242"/>
      <c r="B517" s="242"/>
      <c r="C517" s="177"/>
      <c r="D517" s="177"/>
      <c r="E517" s="177"/>
      <c r="F517" s="177"/>
      <c r="G517" s="177"/>
      <c r="H517" s="148"/>
      <c r="I517" s="7"/>
      <c r="J517" s="7"/>
      <c r="K517" s="7"/>
      <c r="L517" s="7"/>
      <c r="M517" s="7"/>
      <c r="N517" s="7"/>
      <c r="O517" s="7"/>
      <c r="P517" s="7"/>
      <c r="Q517" s="7"/>
      <c r="R517" s="7"/>
      <c r="S517" s="7"/>
      <c r="T517" s="7"/>
      <c r="U517" s="7"/>
      <c r="V517" s="7"/>
      <c r="W517" s="7"/>
      <c r="X517" s="7"/>
      <c r="Y517" s="7"/>
      <c r="Z517" s="7"/>
      <c r="AA517" s="7"/>
    </row>
    <row r="518">
      <c r="A518" s="242"/>
      <c r="B518" s="242"/>
      <c r="C518" s="177"/>
      <c r="D518" s="177"/>
      <c r="E518" s="177"/>
      <c r="F518" s="177"/>
      <c r="G518" s="177"/>
      <c r="H518" s="148"/>
      <c r="I518" s="7"/>
      <c r="J518" s="7"/>
      <c r="K518" s="7"/>
      <c r="L518" s="7"/>
      <c r="M518" s="7"/>
      <c r="N518" s="7"/>
      <c r="O518" s="7"/>
      <c r="P518" s="7"/>
      <c r="Q518" s="7"/>
      <c r="R518" s="7"/>
      <c r="S518" s="7"/>
      <c r="T518" s="7"/>
      <c r="U518" s="7"/>
      <c r="V518" s="7"/>
      <c r="W518" s="7"/>
      <c r="X518" s="7"/>
      <c r="Y518" s="7"/>
      <c r="Z518" s="7"/>
      <c r="AA518" s="7"/>
    </row>
    <row r="519">
      <c r="A519" s="242"/>
      <c r="B519" s="242"/>
      <c r="C519" s="177"/>
      <c r="D519" s="177"/>
      <c r="E519" s="177"/>
      <c r="F519" s="177"/>
      <c r="G519" s="177"/>
      <c r="H519" s="148"/>
      <c r="I519" s="7"/>
      <c r="J519" s="7"/>
      <c r="K519" s="7"/>
      <c r="L519" s="7"/>
      <c r="M519" s="7"/>
      <c r="N519" s="7"/>
      <c r="O519" s="7"/>
      <c r="P519" s="7"/>
      <c r="Q519" s="7"/>
      <c r="R519" s="7"/>
      <c r="S519" s="7"/>
      <c r="T519" s="7"/>
      <c r="U519" s="7"/>
      <c r="V519" s="7"/>
      <c r="W519" s="7"/>
      <c r="X519" s="7"/>
      <c r="Y519" s="7"/>
      <c r="Z519" s="7"/>
      <c r="AA519" s="7"/>
    </row>
    <row r="520">
      <c r="A520" s="242"/>
      <c r="B520" s="242"/>
      <c r="C520" s="177"/>
      <c r="D520" s="177"/>
      <c r="E520" s="177"/>
      <c r="F520" s="177"/>
      <c r="G520" s="177"/>
      <c r="H520" s="148"/>
      <c r="I520" s="7"/>
      <c r="J520" s="7"/>
      <c r="K520" s="7"/>
      <c r="L520" s="7"/>
      <c r="M520" s="7"/>
      <c r="N520" s="7"/>
      <c r="O520" s="7"/>
      <c r="P520" s="7"/>
      <c r="Q520" s="7"/>
      <c r="R520" s="7"/>
      <c r="S520" s="7"/>
      <c r="T520" s="7"/>
      <c r="U520" s="7"/>
      <c r="V520" s="7"/>
      <c r="W520" s="7"/>
      <c r="X520" s="7"/>
      <c r="Y520" s="7"/>
      <c r="Z520" s="7"/>
      <c r="AA520" s="7"/>
    </row>
    <row r="521">
      <c r="A521" s="242"/>
      <c r="B521" s="242"/>
      <c r="C521" s="177"/>
      <c r="D521" s="177"/>
      <c r="E521" s="177"/>
      <c r="F521" s="177"/>
      <c r="G521" s="177"/>
      <c r="H521" s="148"/>
      <c r="I521" s="7"/>
      <c r="J521" s="7"/>
      <c r="K521" s="7"/>
      <c r="L521" s="7"/>
      <c r="M521" s="7"/>
      <c r="N521" s="7"/>
      <c r="O521" s="7"/>
      <c r="P521" s="7"/>
      <c r="Q521" s="7"/>
      <c r="R521" s="7"/>
      <c r="S521" s="7"/>
      <c r="T521" s="7"/>
      <c r="U521" s="7"/>
      <c r="V521" s="7"/>
      <c r="W521" s="7"/>
      <c r="X521" s="7"/>
      <c r="Y521" s="7"/>
      <c r="Z521" s="7"/>
      <c r="AA521" s="7"/>
    </row>
    <row r="522">
      <c r="A522" s="242"/>
      <c r="B522" s="242"/>
      <c r="C522" s="177"/>
      <c r="D522" s="177"/>
      <c r="E522" s="177"/>
      <c r="F522" s="177"/>
      <c r="G522" s="177"/>
      <c r="H522" s="148"/>
      <c r="I522" s="7"/>
      <c r="J522" s="7"/>
      <c r="K522" s="7"/>
      <c r="L522" s="7"/>
      <c r="M522" s="7"/>
      <c r="N522" s="7"/>
      <c r="O522" s="7"/>
      <c r="P522" s="7"/>
      <c r="Q522" s="7"/>
      <c r="R522" s="7"/>
      <c r="S522" s="7"/>
      <c r="T522" s="7"/>
      <c r="U522" s="7"/>
      <c r="V522" s="7"/>
      <c r="W522" s="7"/>
      <c r="X522" s="7"/>
      <c r="Y522" s="7"/>
      <c r="Z522" s="7"/>
      <c r="AA522" s="7"/>
    </row>
    <row r="523">
      <c r="A523" s="242"/>
      <c r="B523" s="242"/>
      <c r="C523" s="177"/>
      <c r="D523" s="177"/>
      <c r="E523" s="177"/>
      <c r="F523" s="177"/>
      <c r="G523" s="177"/>
      <c r="H523" s="148"/>
      <c r="I523" s="7"/>
      <c r="J523" s="7"/>
      <c r="K523" s="7"/>
      <c r="L523" s="7"/>
      <c r="M523" s="7"/>
      <c r="N523" s="7"/>
      <c r="O523" s="7"/>
      <c r="P523" s="7"/>
      <c r="Q523" s="7"/>
      <c r="R523" s="7"/>
      <c r="S523" s="7"/>
      <c r="T523" s="7"/>
      <c r="U523" s="7"/>
      <c r="V523" s="7"/>
      <c r="W523" s="7"/>
      <c r="X523" s="7"/>
      <c r="Y523" s="7"/>
      <c r="Z523" s="7"/>
      <c r="AA523" s="7"/>
    </row>
    <row r="524">
      <c r="A524" s="242"/>
      <c r="B524" s="242"/>
      <c r="C524" s="177"/>
      <c r="D524" s="177"/>
      <c r="E524" s="177"/>
      <c r="F524" s="177"/>
      <c r="G524" s="177"/>
      <c r="H524" s="148"/>
      <c r="I524" s="7"/>
      <c r="J524" s="7"/>
      <c r="K524" s="7"/>
      <c r="L524" s="7"/>
      <c r="M524" s="7"/>
      <c r="N524" s="7"/>
      <c r="O524" s="7"/>
      <c r="P524" s="7"/>
      <c r="Q524" s="7"/>
      <c r="R524" s="7"/>
      <c r="S524" s="7"/>
      <c r="T524" s="7"/>
      <c r="U524" s="7"/>
      <c r="V524" s="7"/>
      <c r="W524" s="7"/>
      <c r="X524" s="7"/>
      <c r="Y524" s="7"/>
      <c r="Z524" s="7"/>
      <c r="AA524" s="7"/>
    </row>
    <row r="525">
      <c r="A525" s="242"/>
      <c r="B525" s="242"/>
      <c r="C525" s="177"/>
      <c r="D525" s="177"/>
      <c r="E525" s="177"/>
      <c r="F525" s="177"/>
      <c r="G525" s="177"/>
      <c r="H525" s="148"/>
      <c r="I525" s="7"/>
      <c r="J525" s="7"/>
      <c r="K525" s="7"/>
      <c r="L525" s="7"/>
      <c r="M525" s="7"/>
      <c r="N525" s="7"/>
      <c r="O525" s="7"/>
      <c r="P525" s="7"/>
      <c r="Q525" s="7"/>
      <c r="R525" s="7"/>
      <c r="S525" s="7"/>
      <c r="T525" s="7"/>
      <c r="U525" s="7"/>
      <c r="V525" s="7"/>
      <c r="W525" s="7"/>
      <c r="X525" s="7"/>
      <c r="Y525" s="7"/>
      <c r="Z525" s="7"/>
      <c r="AA525" s="7"/>
    </row>
    <row r="526">
      <c r="A526" s="242"/>
      <c r="B526" s="242"/>
      <c r="C526" s="177"/>
      <c r="D526" s="177"/>
      <c r="E526" s="177"/>
      <c r="F526" s="177"/>
      <c r="G526" s="177"/>
      <c r="H526" s="148"/>
      <c r="I526" s="7"/>
      <c r="J526" s="7"/>
      <c r="K526" s="7"/>
      <c r="L526" s="7"/>
      <c r="M526" s="7"/>
      <c r="N526" s="7"/>
      <c r="O526" s="7"/>
      <c r="P526" s="7"/>
      <c r="Q526" s="7"/>
      <c r="R526" s="7"/>
      <c r="S526" s="7"/>
      <c r="T526" s="7"/>
      <c r="U526" s="7"/>
      <c r="V526" s="7"/>
      <c r="W526" s="7"/>
      <c r="X526" s="7"/>
      <c r="Y526" s="7"/>
      <c r="Z526" s="7"/>
      <c r="AA526" s="7"/>
    </row>
    <row r="527">
      <c r="A527" s="242"/>
      <c r="B527" s="242"/>
      <c r="C527" s="177"/>
      <c r="D527" s="177"/>
      <c r="E527" s="177"/>
      <c r="F527" s="177"/>
      <c r="G527" s="177"/>
      <c r="H527" s="148"/>
      <c r="I527" s="7"/>
      <c r="J527" s="7"/>
      <c r="K527" s="7"/>
      <c r="L527" s="7"/>
      <c r="M527" s="7"/>
      <c r="N527" s="7"/>
      <c r="O527" s="7"/>
      <c r="P527" s="7"/>
      <c r="Q527" s="7"/>
      <c r="R527" s="7"/>
      <c r="S527" s="7"/>
      <c r="T527" s="7"/>
      <c r="U527" s="7"/>
      <c r="V527" s="7"/>
      <c r="W527" s="7"/>
      <c r="X527" s="7"/>
      <c r="Y527" s="7"/>
      <c r="Z527" s="7"/>
      <c r="AA527" s="7"/>
    </row>
    <row r="528">
      <c r="A528" s="242"/>
      <c r="B528" s="242"/>
      <c r="C528" s="177"/>
      <c r="D528" s="177"/>
      <c r="E528" s="177"/>
      <c r="F528" s="177"/>
      <c r="G528" s="177"/>
      <c r="H528" s="148"/>
      <c r="I528" s="7"/>
      <c r="J528" s="7"/>
      <c r="K528" s="7"/>
      <c r="L528" s="7"/>
      <c r="M528" s="7"/>
      <c r="N528" s="7"/>
      <c r="O528" s="7"/>
      <c r="P528" s="7"/>
      <c r="Q528" s="7"/>
      <c r="R528" s="7"/>
      <c r="S528" s="7"/>
      <c r="T528" s="7"/>
      <c r="U528" s="7"/>
      <c r="V528" s="7"/>
      <c r="W528" s="7"/>
      <c r="X528" s="7"/>
      <c r="Y528" s="7"/>
      <c r="Z528" s="7"/>
      <c r="AA528" s="7"/>
    </row>
    <row r="529">
      <c r="A529" s="242"/>
      <c r="B529" s="242"/>
      <c r="C529" s="177"/>
      <c r="D529" s="177"/>
      <c r="E529" s="177"/>
      <c r="F529" s="177"/>
      <c r="G529" s="177"/>
      <c r="H529" s="148"/>
      <c r="I529" s="7"/>
      <c r="J529" s="7"/>
      <c r="K529" s="7"/>
      <c r="L529" s="7"/>
      <c r="M529" s="7"/>
      <c r="N529" s="7"/>
      <c r="O529" s="7"/>
      <c r="P529" s="7"/>
      <c r="Q529" s="7"/>
      <c r="R529" s="7"/>
      <c r="S529" s="7"/>
      <c r="T529" s="7"/>
      <c r="U529" s="7"/>
      <c r="V529" s="7"/>
      <c r="W529" s="7"/>
      <c r="X529" s="7"/>
      <c r="Y529" s="7"/>
      <c r="Z529" s="7"/>
      <c r="AA529" s="7"/>
    </row>
    <row r="530">
      <c r="A530" s="242"/>
      <c r="B530" s="242"/>
      <c r="C530" s="177"/>
      <c r="D530" s="177"/>
      <c r="E530" s="177"/>
      <c r="F530" s="177"/>
      <c r="G530" s="177"/>
      <c r="H530" s="148"/>
      <c r="I530" s="7"/>
      <c r="J530" s="7"/>
      <c r="K530" s="7"/>
      <c r="L530" s="7"/>
      <c r="M530" s="7"/>
      <c r="N530" s="7"/>
      <c r="O530" s="7"/>
      <c r="P530" s="7"/>
      <c r="Q530" s="7"/>
      <c r="R530" s="7"/>
      <c r="S530" s="7"/>
      <c r="T530" s="7"/>
      <c r="U530" s="7"/>
      <c r="V530" s="7"/>
      <c r="W530" s="7"/>
      <c r="X530" s="7"/>
      <c r="Y530" s="7"/>
      <c r="Z530" s="7"/>
      <c r="AA530" s="7"/>
    </row>
    <row r="531">
      <c r="A531" s="242"/>
      <c r="B531" s="242"/>
      <c r="C531" s="177"/>
      <c r="D531" s="177"/>
      <c r="E531" s="177"/>
      <c r="F531" s="177"/>
      <c r="G531" s="177"/>
      <c r="H531" s="148"/>
      <c r="I531" s="7"/>
      <c r="J531" s="7"/>
      <c r="K531" s="7"/>
      <c r="L531" s="7"/>
      <c r="M531" s="7"/>
      <c r="N531" s="7"/>
      <c r="O531" s="7"/>
      <c r="P531" s="7"/>
      <c r="Q531" s="7"/>
      <c r="R531" s="7"/>
      <c r="S531" s="7"/>
      <c r="T531" s="7"/>
      <c r="U531" s="7"/>
      <c r="V531" s="7"/>
      <c r="W531" s="7"/>
      <c r="X531" s="7"/>
      <c r="Y531" s="7"/>
      <c r="Z531" s="7"/>
      <c r="AA531" s="7"/>
    </row>
    <row r="532">
      <c r="A532" s="242"/>
      <c r="B532" s="242"/>
      <c r="C532" s="177"/>
      <c r="D532" s="177"/>
      <c r="E532" s="177"/>
      <c r="F532" s="177"/>
      <c r="G532" s="177"/>
      <c r="H532" s="148"/>
      <c r="I532" s="7"/>
      <c r="J532" s="7"/>
      <c r="K532" s="7"/>
      <c r="L532" s="7"/>
      <c r="M532" s="7"/>
      <c r="N532" s="7"/>
      <c r="O532" s="7"/>
      <c r="P532" s="7"/>
      <c r="Q532" s="7"/>
      <c r="R532" s="7"/>
      <c r="S532" s="7"/>
      <c r="T532" s="7"/>
      <c r="U532" s="7"/>
      <c r="V532" s="7"/>
      <c r="W532" s="7"/>
      <c r="X532" s="7"/>
      <c r="Y532" s="7"/>
      <c r="Z532" s="7"/>
      <c r="AA532" s="7"/>
    </row>
    <row r="533">
      <c r="A533" s="242"/>
      <c r="B533" s="242"/>
      <c r="C533" s="177"/>
      <c r="D533" s="177"/>
      <c r="E533" s="177"/>
      <c r="F533" s="177"/>
      <c r="G533" s="177"/>
      <c r="H533" s="148"/>
      <c r="I533" s="7"/>
      <c r="J533" s="7"/>
      <c r="K533" s="7"/>
      <c r="L533" s="7"/>
      <c r="M533" s="7"/>
      <c r="N533" s="7"/>
      <c r="O533" s="7"/>
      <c r="P533" s="7"/>
      <c r="Q533" s="7"/>
      <c r="R533" s="7"/>
      <c r="S533" s="7"/>
      <c r="T533" s="7"/>
      <c r="U533" s="7"/>
      <c r="V533" s="7"/>
      <c r="W533" s="7"/>
      <c r="X533" s="7"/>
      <c r="Y533" s="7"/>
      <c r="Z533" s="7"/>
      <c r="AA533" s="7"/>
    </row>
    <row r="534">
      <c r="A534" s="242"/>
      <c r="B534" s="242"/>
      <c r="C534" s="177"/>
      <c r="D534" s="177"/>
      <c r="E534" s="177"/>
      <c r="F534" s="177"/>
      <c r="G534" s="177"/>
      <c r="H534" s="148"/>
      <c r="I534" s="7"/>
      <c r="J534" s="7"/>
      <c r="K534" s="7"/>
      <c r="L534" s="7"/>
      <c r="M534" s="7"/>
      <c r="N534" s="7"/>
      <c r="O534" s="7"/>
      <c r="P534" s="7"/>
      <c r="Q534" s="7"/>
      <c r="R534" s="7"/>
      <c r="S534" s="7"/>
      <c r="T534" s="7"/>
      <c r="U534" s="7"/>
      <c r="V534" s="7"/>
      <c r="W534" s="7"/>
      <c r="X534" s="7"/>
      <c r="Y534" s="7"/>
      <c r="Z534" s="7"/>
      <c r="AA534" s="7"/>
    </row>
    <row r="535">
      <c r="A535" s="242"/>
      <c r="B535" s="242"/>
      <c r="C535" s="177"/>
      <c r="D535" s="177"/>
      <c r="E535" s="177"/>
      <c r="F535" s="177"/>
      <c r="G535" s="177"/>
      <c r="H535" s="148"/>
      <c r="I535" s="7"/>
      <c r="J535" s="7"/>
      <c r="K535" s="7"/>
      <c r="L535" s="7"/>
      <c r="M535" s="7"/>
      <c r="N535" s="7"/>
      <c r="O535" s="7"/>
      <c r="P535" s="7"/>
      <c r="Q535" s="7"/>
      <c r="R535" s="7"/>
      <c r="S535" s="7"/>
      <c r="T535" s="7"/>
      <c r="U535" s="7"/>
      <c r="V535" s="7"/>
      <c r="W535" s="7"/>
      <c r="X535" s="7"/>
      <c r="Y535" s="7"/>
      <c r="Z535" s="7"/>
      <c r="AA535" s="7"/>
    </row>
    <row r="536">
      <c r="A536" s="242"/>
      <c r="B536" s="242"/>
      <c r="C536" s="177"/>
      <c r="D536" s="177"/>
      <c r="E536" s="177"/>
      <c r="F536" s="177"/>
      <c r="G536" s="177"/>
      <c r="H536" s="148"/>
      <c r="I536" s="7"/>
      <c r="J536" s="7"/>
      <c r="K536" s="7"/>
      <c r="L536" s="7"/>
      <c r="M536" s="7"/>
      <c r="N536" s="7"/>
      <c r="O536" s="7"/>
      <c r="P536" s="7"/>
      <c r="Q536" s="7"/>
      <c r="R536" s="7"/>
      <c r="S536" s="7"/>
      <c r="T536" s="7"/>
      <c r="U536" s="7"/>
      <c r="V536" s="7"/>
      <c r="W536" s="7"/>
      <c r="X536" s="7"/>
      <c r="Y536" s="7"/>
      <c r="Z536" s="7"/>
      <c r="AA536" s="7"/>
    </row>
    <row r="537">
      <c r="A537" s="242"/>
      <c r="B537" s="242"/>
      <c r="C537" s="177"/>
      <c r="D537" s="177"/>
      <c r="E537" s="177"/>
      <c r="F537" s="177"/>
      <c r="G537" s="177"/>
      <c r="H537" s="148"/>
      <c r="I537" s="7"/>
      <c r="J537" s="7"/>
      <c r="K537" s="7"/>
      <c r="L537" s="7"/>
      <c r="M537" s="7"/>
      <c r="N537" s="7"/>
      <c r="O537" s="7"/>
      <c r="P537" s="7"/>
      <c r="Q537" s="7"/>
      <c r="R537" s="7"/>
      <c r="S537" s="7"/>
      <c r="T537" s="7"/>
      <c r="U537" s="7"/>
      <c r="V537" s="7"/>
      <c r="W537" s="7"/>
      <c r="X537" s="7"/>
      <c r="Y537" s="7"/>
      <c r="Z537" s="7"/>
      <c r="AA537" s="7"/>
    </row>
    <row r="538">
      <c r="A538" s="242"/>
      <c r="B538" s="242"/>
      <c r="C538" s="177"/>
      <c r="D538" s="177"/>
      <c r="E538" s="177"/>
      <c r="F538" s="177"/>
      <c r="G538" s="177"/>
      <c r="H538" s="148"/>
      <c r="I538" s="7"/>
      <c r="J538" s="7"/>
      <c r="K538" s="7"/>
      <c r="L538" s="7"/>
      <c r="M538" s="7"/>
      <c r="N538" s="7"/>
      <c r="O538" s="7"/>
      <c r="P538" s="7"/>
      <c r="Q538" s="7"/>
      <c r="R538" s="7"/>
      <c r="S538" s="7"/>
      <c r="T538" s="7"/>
      <c r="U538" s="7"/>
      <c r="V538" s="7"/>
      <c r="W538" s="7"/>
      <c r="X538" s="7"/>
      <c r="Y538" s="7"/>
      <c r="Z538" s="7"/>
      <c r="AA538" s="7"/>
    </row>
    <row r="539">
      <c r="A539" s="242"/>
      <c r="B539" s="242"/>
      <c r="C539" s="177"/>
      <c r="D539" s="177"/>
      <c r="E539" s="177"/>
      <c r="F539" s="177"/>
      <c r="G539" s="177"/>
      <c r="H539" s="148"/>
      <c r="I539" s="7"/>
      <c r="J539" s="7"/>
      <c r="K539" s="7"/>
      <c r="L539" s="7"/>
      <c r="M539" s="7"/>
      <c r="N539" s="7"/>
      <c r="O539" s="7"/>
      <c r="P539" s="7"/>
      <c r="Q539" s="7"/>
      <c r="R539" s="7"/>
      <c r="S539" s="7"/>
      <c r="T539" s="7"/>
      <c r="U539" s="7"/>
      <c r="V539" s="7"/>
      <c r="W539" s="7"/>
      <c r="X539" s="7"/>
      <c r="Y539" s="7"/>
      <c r="Z539" s="7"/>
      <c r="AA539" s="7"/>
    </row>
    <row r="540">
      <c r="A540" s="242"/>
      <c r="B540" s="242"/>
      <c r="C540" s="177"/>
      <c r="D540" s="177"/>
      <c r="E540" s="177"/>
      <c r="F540" s="177"/>
      <c r="G540" s="177"/>
      <c r="H540" s="148"/>
      <c r="I540" s="7"/>
      <c r="J540" s="7"/>
      <c r="K540" s="7"/>
      <c r="L540" s="7"/>
      <c r="M540" s="7"/>
      <c r="N540" s="7"/>
      <c r="O540" s="7"/>
      <c r="P540" s="7"/>
      <c r="Q540" s="7"/>
      <c r="R540" s="7"/>
      <c r="S540" s="7"/>
      <c r="T540" s="7"/>
      <c r="U540" s="7"/>
      <c r="V540" s="7"/>
      <c r="W540" s="7"/>
      <c r="X540" s="7"/>
      <c r="Y540" s="7"/>
      <c r="Z540" s="7"/>
      <c r="AA540" s="7"/>
    </row>
    <row r="541">
      <c r="A541" s="242"/>
      <c r="B541" s="242"/>
      <c r="C541" s="177"/>
      <c r="D541" s="177"/>
      <c r="E541" s="177"/>
      <c r="F541" s="177"/>
      <c r="G541" s="177"/>
      <c r="H541" s="148"/>
      <c r="I541" s="7"/>
      <c r="J541" s="7"/>
      <c r="K541" s="7"/>
      <c r="L541" s="7"/>
      <c r="M541" s="7"/>
      <c r="N541" s="7"/>
      <c r="O541" s="7"/>
      <c r="P541" s="7"/>
      <c r="Q541" s="7"/>
      <c r="R541" s="7"/>
      <c r="S541" s="7"/>
      <c r="T541" s="7"/>
      <c r="U541" s="7"/>
      <c r="V541" s="7"/>
      <c r="W541" s="7"/>
      <c r="X541" s="7"/>
      <c r="Y541" s="7"/>
      <c r="Z541" s="7"/>
      <c r="AA541" s="7"/>
    </row>
    <row r="542">
      <c r="A542" s="242"/>
      <c r="B542" s="242"/>
      <c r="C542" s="177"/>
      <c r="D542" s="177"/>
      <c r="E542" s="177"/>
      <c r="F542" s="177"/>
      <c r="G542" s="177"/>
      <c r="H542" s="148"/>
      <c r="I542" s="7"/>
      <c r="J542" s="7"/>
      <c r="K542" s="7"/>
      <c r="L542" s="7"/>
      <c r="M542" s="7"/>
      <c r="N542" s="7"/>
      <c r="O542" s="7"/>
      <c r="P542" s="7"/>
      <c r="Q542" s="7"/>
      <c r="R542" s="7"/>
      <c r="S542" s="7"/>
      <c r="T542" s="7"/>
      <c r="U542" s="7"/>
      <c r="V542" s="7"/>
      <c r="W542" s="7"/>
      <c r="X542" s="7"/>
      <c r="Y542" s="7"/>
      <c r="Z542" s="7"/>
      <c r="AA542" s="7"/>
    </row>
    <row r="543">
      <c r="A543" s="242"/>
      <c r="B543" s="242"/>
      <c r="C543" s="177"/>
      <c r="D543" s="177"/>
      <c r="E543" s="177"/>
      <c r="F543" s="177"/>
      <c r="G543" s="177"/>
      <c r="H543" s="148"/>
      <c r="I543" s="7"/>
      <c r="J543" s="7"/>
      <c r="K543" s="7"/>
      <c r="L543" s="7"/>
      <c r="M543" s="7"/>
      <c r="N543" s="7"/>
      <c r="O543" s="7"/>
      <c r="P543" s="7"/>
      <c r="Q543" s="7"/>
      <c r="R543" s="7"/>
      <c r="S543" s="7"/>
      <c r="T543" s="7"/>
      <c r="U543" s="7"/>
      <c r="V543" s="7"/>
      <c r="W543" s="7"/>
      <c r="X543" s="7"/>
      <c r="Y543" s="7"/>
      <c r="Z543" s="7"/>
      <c r="AA543" s="7"/>
    </row>
    <row r="544">
      <c r="A544" s="242"/>
      <c r="B544" s="242"/>
      <c r="C544" s="177"/>
      <c r="D544" s="177"/>
      <c r="E544" s="177"/>
      <c r="F544" s="177"/>
      <c r="G544" s="177"/>
      <c r="H544" s="148"/>
      <c r="I544" s="7"/>
      <c r="J544" s="7"/>
      <c r="K544" s="7"/>
      <c r="L544" s="7"/>
      <c r="M544" s="7"/>
      <c r="N544" s="7"/>
      <c r="O544" s="7"/>
      <c r="P544" s="7"/>
      <c r="Q544" s="7"/>
      <c r="R544" s="7"/>
      <c r="S544" s="7"/>
      <c r="T544" s="7"/>
      <c r="U544" s="7"/>
      <c r="V544" s="7"/>
      <c r="W544" s="7"/>
      <c r="X544" s="7"/>
      <c r="Y544" s="7"/>
      <c r="Z544" s="7"/>
      <c r="AA544" s="7"/>
    </row>
    <row r="545">
      <c r="A545" s="242"/>
      <c r="B545" s="242"/>
      <c r="C545" s="177"/>
      <c r="D545" s="177"/>
      <c r="E545" s="177"/>
      <c r="F545" s="177"/>
      <c r="G545" s="177"/>
      <c r="H545" s="148"/>
      <c r="I545" s="7"/>
      <c r="J545" s="7"/>
      <c r="K545" s="7"/>
      <c r="L545" s="7"/>
      <c r="M545" s="7"/>
      <c r="N545" s="7"/>
      <c r="O545" s="7"/>
      <c r="P545" s="7"/>
      <c r="Q545" s="7"/>
      <c r="R545" s="7"/>
      <c r="S545" s="7"/>
      <c r="T545" s="7"/>
      <c r="U545" s="7"/>
      <c r="V545" s="7"/>
      <c r="W545" s="7"/>
      <c r="X545" s="7"/>
      <c r="Y545" s="7"/>
      <c r="Z545" s="7"/>
      <c r="AA545" s="7"/>
    </row>
    <row r="546">
      <c r="A546" s="242"/>
      <c r="B546" s="242"/>
      <c r="C546" s="177"/>
      <c r="D546" s="177"/>
      <c r="E546" s="177"/>
      <c r="F546" s="177"/>
      <c r="G546" s="177"/>
      <c r="H546" s="148"/>
      <c r="I546" s="7"/>
      <c r="J546" s="7"/>
      <c r="K546" s="7"/>
      <c r="L546" s="7"/>
      <c r="M546" s="7"/>
      <c r="N546" s="7"/>
      <c r="O546" s="7"/>
      <c r="P546" s="7"/>
      <c r="Q546" s="7"/>
      <c r="R546" s="7"/>
      <c r="S546" s="7"/>
      <c r="T546" s="7"/>
      <c r="U546" s="7"/>
      <c r="V546" s="7"/>
      <c r="W546" s="7"/>
      <c r="X546" s="7"/>
      <c r="Y546" s="7"/>
      <c r="Z546" s="7"/>
      <c r="AA546" s="7"/>
    </row>
    <row r="547">
      <c r="A547" s="242"/>
      <c r="B547" s="242"/>
      <c r="C547" s="177"/>
      <c r="D547" s="177"/>
      <c r="E547" s="177"/>
      <c r="F547" s="177"/>
      <c r="G547" s="177"/>
      <c r="H547" s="148"/>
      <c r="I547" s="7"/>
      <c r="J547" s="7"/>
      <c r="K547" s="7"/>
      <c r="L547" s="7"/>
      <c r="M547" s="7"/>
      <c r="N547" s="7"/>
      <c r="O547" s="7"/>
      <c r="P547" s="7"/>
      <c r="Q547" s="7"/>
      <c r="R547" s="7"/>
      <c r="S547" s="7"/>
      <c r="T547" s="7"/>
      <c r="U547" s="7"/>
      <c r="V547" s="7"/>
      <c r="W547" s="7"/>
      <c r="X547" s="7"/>
      <c r="Y547" s="7"/>
      <c r="Z547" s="7"/>
      <c r="AA547" s="7"/>
    </row>
    <row r="548">
      <c r="A548" s="242"/>
      <c r="B548" s="242"/>
      <c r="C548" s="177"/>
      <c r="D548" s="177"/>
      <c r="E548" s="177"/>
      <c r="F548" s="177"/>
      <c r="G548" s="177"/>
      <c r="H548" s="148"/>
      <c r="I548" s="7"/>
      <c r="J548" s="7"/>
      <c r="K548" s="7"/>
      <c r="L548" s="7"/>
      <c r="M548" s="7"/>
      <c r="N548" s="7"/>
      <c r="O548" s="7"/>
      <c r="P548" s="7"/>
      <c r="Q548" s="7"/>
      <c r="R548" s="7"/>
      <c r="S548" s="7"/>
      <c r="T548" s="7"/>
      <c r="U548" s="7"/>
      <c r="V548" s="7"/>
      <c r="W548" s="7"/>
      <c r="X548" s="7"/>
      <c r="Y548" s="7"/>
      <c r="Z548" s="7"/>
      <c r="AA548" s="7"/>
    </row>
    <row r="549">
      <c r="A549" s="242"/>
      <c r="B549" s="242"/>
      <c r="C549" s="177"/>
      <c r="D549" s="177"/>
      <c r="E549" s="177"/>
      <c r="F549" s="177"/>
      <c r="G549" s="177"/>
      <c r="H549" s="148"/>
      <c r="I549" s="7"/>
      <c r="J549" s="7"/>
      <c r="K549" s="7"/>
      <c r="L549" s="7"/>
      <c r="M549" s="7"/>
      <c r="N549" s="7"/>
      <c r="O549" s="7"/>
      <c r="P549" s="7"/>
      <c r="Q549" s="7"/>
      <c r="R549" s="7"/>
      <c r="S549" s="7"/>
      <c r="T549" s="7"/>
      <c r="U549" s="7"/>
      <c r="V549" s="7"/>
      <c r="W549" s="7"/>
      <c r="X549" s="7"/>
      <c r="Y549" s="7"/>
      <c r="Z549" s="7"/>
      <c r="AA549" s="7"/>
    </row>
    <row r="550">
      <c r="A550" s="242"/>
      <c r="B550" s="242"/>
      <c r="C550" s="177"/>
      <c r="D550" s="177"/>
      <c r="E550" s="177"/>
      <c r="F550" s="177"/>
      <c r="G550" s="177"/>
      <c r="H550" s="148"/>
      <c r="I550" s="7"/>
      <c r="J550" s="7"/>
      <c r="K550" s="7"/>
      <c r="L550" s="7"/>
      <c r="M550" s="7"/>
      <c r="N550" s="7"/>
      <c r="O550" s="7"/>
      <c r="P550" s="7"/>
      <c r="Q550" s="7"/>
      <c r="R550" s="7"/>
      <c r="S550" s="7"/>
      <c r="T550" s="7"/>
      <c r="U550" s="7"/>
      <c r="V550" s="7"/>
      <c r="W550" s="7"/>
      <c r="X550" s="7"/>
      <c r="Y550" s="7"/>
      <c r="Z550" s="7"/>
      <c r="AA550" s="7"/>
    </row>
    <row r="551">
      <c r="A551" s="242"/>
      <c r="B551" s="242"/>
      <c r="C551" s="177"/>
      <c r="D551" s="177"/>
      <c r="E551" s="177"/>
      <c r="F551" s="177"/>
      <c r="G551" s="177"/>
      <c r="H551" s="148"/>
      <c r="I551" s="7"/>
      <c r="J551" s="7"/>
      <c r="K551" s="7"/>
      <c r="L551" s="7"/>
      <c r="M551" s="7"/>
      <c r="N551" s="7"/>
      <c r="O551" s="7"/>
      <c r="P551" s="7"/>
      <c r="Q551" s="7"/>
      <c r="R551" s="7"/>
      <c r="S551" s="7"/>
      <c r="T551" s="7"/>
      <c r="U551" s="7"/>
      <c r="V551" s="7"/>
      <c r="W551" s="7"/>
      <c r="X551" s="7"/>
      <c r="Y551" s="7"/>
      <c r="Z551" s="7"/>
      <c r="AA551" s="7"/>
    </row>
    <row r="552">
      <c r="A552" s="242"/>
      <c r="B552" s="242"/>
      <c r="C552" s="177"/>
      <c r="D552" s="177"/>
      <c r="E552" s="177"/>
      <c r="F552" s="177"/>
      <c r="G552" s="177"/>
      <c r="H552" s="148"/>
      <c r="I552" s="7"/>
      <c r="J552" s="7"/>
      <c r="K552" s="7"/>
      <c r="L552" s="7"/>
      <c r="M552" s="7"/>
      <c r="N552" s="7"/>
      <c r="O552" s="7"/>
      <c r="P552" s="7"/>
      <c r="Q552" s="7"/>
      <c r="R552" s="7"/>
      <c r="S552" s="7"/>
      <c r="T552" s="7"/>
      <c r="U552" s="7"/>
      <c r="V552" s="7"/>
      <c r="W552" s="7"/>
      <c r="X552" s="7"/>
      <c r="Y552" s="7"/>
      <c r="Z552" s="7"/>
      <c r="AA552" s="7"/>
    </row>
    <row r="553">
      <c r="A553" s="242"/>
      <c r="B553" s="242"/>
      <c r="C553" s="177"/>
      <c r="D553" s="177"/>
      <c r="E553" s="177"/>
      <c r="F553" s="177"/>
      <c r="G553" s="177"/>
      <c r="H553" s="148"/>
      <c r="I553" s="7"/>
      <c r="J553" s="7"/>
      <c r="K553" s="7"/>
      <c r="L553" s="7"/>
      <c r="M553" s="7"/>
      <c r="N553" s="7"/>
      <c r="O553" s="7"/>
      <c r="P553" s="7"/>
      <c r="Q553" s="7"/>
      <c r="R553" s="7"/>
      <c r="S553" s="7"/>
      <c r="T553" s="7"/>
      <c r="U553" s="7"/>
      <c r="V553" s="7"/>
      <c r="W553" s="7"/>
      <c r="X553" s="7"/>
      <c r="Y553" s="7"/>
      <c r="Z553" s="7"/>
      <c r="AA553" s="7"/>
    </row>
    <row r="554">
      <c r="A554" s="242"/>
      <c r="B554" s="242"/>
      <c r="C554" s="177"/>
      <c r="D554" s="177"/>
      <c r="E554" s="177"/>
      <c r="F554" s="177"/>
      <c r="G554" s="177"/>
      <c r="H554" s="148"/>
      <c r="I554" s="7"/>
      <c r="J554" s="7"/>
      <c r="K554" s="7"/>
      <c r="L554" s="7"/>
      <c r="M554" s="7"/>
      <c r="N554" s="7"/>
      <c r="O554" s="7"/>
      <c r="P554" s="7"/>
      <c r="Q554" s="7"/>
      <c r="R554" s="7"/>
      <c r="S554" s="7"/>
      <c r="T554" s="7"/>
      <c r="U554" s="7"/>
      <c r="V554" s="7"/>
      <c r="W554" s="7"/>
      <c r="X554" s="7"/>
      <c r="Y554" s="7"/>
      <c r="Z554" s="7"/>
      <c r="AA554" s="7"/>
    </row>
    <row r="555">
      <c r="A555" s="242"/>
      <c r="B555" s="242"/>
      <c r="C555" s="177"/>
      <c r="D555" s="177"/>
      <c r="E555" s="177"/>
      <c r="F555" s="177"/>
      <c r="G555" s="177"/>
      <c r="H555" s="148"/>
      <c r="I555" s="7"/>
      <c r="J555" s="7"/>
      <c r="K555" s="7"/>
      <c r="L555" s="7"/>
      <c r="M555" s="7"/>
      <c r="N555" s="7"/>
      <c r="O555" s="7"/>
      <c r="P555" s="7"/>
      <c r="Q555" s="7"/>
      <c r="R555" s="7"/>
      <c r="S555" s="7"/>
      <c r="T555" s="7"/>
      <c r="U555" s="7"/>
      <c r="V555" s="7"/>
      <c r="W555" s="7"/>
      <c r="X555" s="7"/>
      <c r="Y555" s="7"/>
      <c r="Z555" s="7"/>
      <c r="AA555" s="7"/>
    </row>
    <row r="556">
      <c r="A556" s="242"/>
      <c r="B556" s="242"/>
      <c r="C556" s="177"/>
      <c r="D556" s="177"/>
      <c r="E556" s="177"/>
      <c r="F556" s="177"/>
      <c r="G556" s="177"/>
      <c r="H556" s="148"/>
      <c r="I556" s="7"/>
      <c r="J556" s="7"/>
      <c r="K556" s="7"/>
      <c r="L556" s="7"/>
      <c r="M556" s="7"/>
      <c r="N556" s="7"/>
      <c r="O556" s="7"/>
      <c r="P556" s="7"/>
      <c r="Q556" s="7"/>
      <c r="R556" s="7"/>
      <c r="S556" s="7"/>
      <c r="T556" s="7"/>
      <c r="U556" s="7"/>
      <c r="V556" s="7"/>
      <c r="W556" s="7"/>
      <c r="X556" s="7"/>
      <c r="Y556" s="7"/>
      <c r="Z556" s="7"/>
      <c r="AA556" s="7"/>
    </row>
    <row r="557">
      <c r="A557" s="242"/>
      <c r="B557" s="242"/>
      <c r="C557" s="177"/>
      <c r="D557" s="177"/>
      <c r="E557" s="177"/>
      <c r="F557" s="177"/>
      <c r="G557" s="177"/>
      <c r="H557" s="148"/>
      <c r="I557" s="7"/>
      <c r="J557" s="7"/>
      <c r="K557" s="7"/>
      <c r="L557" s="7"/>
      <c r="M557" s="7"/>
      <c r="N557" s="7"/>
      <c r="O557" s="7"/>
      <c r="P557" s="7"/>
      <c r="Q557" s="7"/>
      <c r="R557" s="7"/>
      <c r="S557" s="7"/>
      <c r="T557" s="7"/>
      <c r="U557" s="7"/>
      <c r="V557" s="7"/>
      <c r="W557" s="7"/>
      <c r="X557" s="7"/>
      <c r="Y557" s="7"/>
      <c r="Z557" s="7"/>
      <c r="AA557" s="7"/>
    </row>
    <row r="558">
      <c r="A558" s="242"/>
      <c r="B558" s="242"/>
      <c r="C558" s="177"/>
      <c r="D558" s="177"/>
      <c r="E558" s="177"/>
      <c r="F558" s="177"/>
      <c r="G558" s="177"/>
      <c r="H558" s="148"/>
      <c r="I558" s="7"/>
      <c r="J558" s="7"/>
      <c r="K558" s="7"/>
      <c r="L558" s="7"/>
      <c r="M558" s="7"/>
      <c r="N558" s="7"/>
      <c r="O558" s="7"/>
      <c r="P558" s="7"/>
      <c r="Q558" s="7"/>
      <c r="R558" s="7"/>
      <c r="S558" s="7"/>
      <c r="T558" s="7"/>
      <c r="U558" s="7"/>
      <c r="V558" s="7"/>
      <c r="W558" s="7"/>
      <c r="X558" s="7"/>
      <c r="Y558" s="7"/>
      <c r="Z558" s="7"/>
      <c r="AA558" s="7"/>
    </row>
    <row r="559">
      <c r="A559" s="242"/>
      <c r="B559" s="242"/>
      <c r="C559" s="177"/>
      <c r="D559" s="177"/>
      <c r="E559" s="177"/>
      <c r="F559" s="177"/>
      <c r="G559" s="177"/>
      <c r="H559" s="148"/>
      <c r="I559" s="7"/>
      <c r="J559" s="7"/>
      <c r="K559" s="7"/>
      <c r="L559" s="7"/>
      <c r="M559" s="7"/>
      <c r="N559" s="7"/>
      <c r="O559" s="7"/>
      <c r="P559" s="7"/>
      <c r="Q559" s="7"/>
      <c r="R559" s="7"/>
      <c r="S559" s="7"/>
      <c r="T559" s="7"/>
      <c r="U559" s="7"/>
      <c r="V559" s="7"/>
      <c r="W559" s="7"/>
      <c r="X559" s="7"/>
      <c r="Y559" s="7"/>
      <c r="Z559" s="7"/>
      <c r="AA559" s="7"/>
    </row>
    <row r="560">
      <c r="A560" s="242"/>
      <c r="B560" s="242"/>
      <c r="C560" s="177"/>
      <c r="D560" s="177"/>
      <c r="E560" s="177"/>
      <c r="F560" s="177"/>
      <c r="G560" s="177"/>
      <c r="H560" s="148"/>
      <c r="I560" s="7"/>
      <c r="J560" s="7"/>
      <c r="K560" s="7"/>
      <c r="L560" s="7"/>
      <c r="M560" s="7"/>
      <c r="N560" s="7"/>
      <c r="O560" s="7"/>
      <c r="P560" s="7"/>
      <c r="Q560" s="7"/>
      <c r="R560" s="7"/>
      <c r="S560" s="7"/>
      <c r="T560" s="7"/>
      <c r="U560" s="7"/>
      <c r="V560" s="7"/>
      <c r="W560" s="7"/>
      <c r="X560" s="7"/>
      <c r="Y560" s="7"/>
      <c r="Z560" s="7"/>
      <c r="AA560" s="7"/>
    </row>
    <row r="561">
      <c r="A561" s="242"/>
      <c r="B561" s="242"/>
      <c r="C561" s="177"/>
      <c r="D561" s="177"/>
      <c r="E561" s="177"/>
      <c r="F561" s="177"/>
      <c r="G561" s="177"/>
      <c r="H561" s="148"/>
      <c r="I561" s="7"/>
      <c r="J561" s="7"/>
      <c r="K561" s="7"/>
      <c r="L561" s="7"/>
      <c r="M561" s="7"/>
      <c r="N561" s="7"/>
      <c r="O561" s="7"/>
      <c r="P561" s="7"/>
      <c r="Q561" s="7"/>
      <c r="R561" s="7"/>
      <c r="S561" s="7"/>
      <c r="T561" s="7"/>
      <c r="U561" s="7"/>
      <c r="V561" s="7"/>
      <c r="W561" s="7"/>
      <c r="X561" s="7"/>
      <c r="Y561" s="7"/>
      <c r="Z561" s="7"/>
      <c r="AA561" s="7"/>
    </row>
    <row r="562">
      <c r="A562" s="242"/>
      <c r="B562" s="242"/>
      <c r="C562" s="177"/>
      <c r="D562" s="177"/>
      <c r="E562" s="177"/>
      <c r="F562" s="177"/>
      <c r="G562" s="177"/>
      <c r="H562" s="148"/>
      <c r="I562" s="7"/>
      <c r="J562" s="7"/>
      <c r="K562" s="7"/>
      <c r="L562" s="7"/>
      <c r="M562" s="7"/>
      <c r="N562" s="7"/>
      <c r="O562" s="7"/>
      <c r="P562" s="7"/>
      <c r="Q562" s="7"/>
      <c r="R562" s="7"/>
      <c r="S562" s="7"/>
      <c r="T562" s="7"/>
      <c r="U562" s="7"/>
      <c r="V562" s="7"/>
      <c r="W562" s="7"/>
      <c r="X562" s="7"/>
      <c r="Y562" s="7"/>
      <c r="Z562" s="7"/>
      <c r="AA562" s="7"/>
    </row>
    <row r="563">
      <c r="A563" s="242"/>
      <c r="B563" s="242"/>
      <c r="C563" s="177"/>
      <c r="D563" s="177"/>
      <c r="E563" s="177"/>
      <c r="F563" s="177"/>
      <c r="G563" s="177"/>
      <c r="H563" s="148"/>
      <c r="I563" s="7"/>
      <c r="J563" s="7"/>
      <c r="K563" s="7"/>
      <c r="L563" s="7"/>
      <c r="M563" s="7"/>
      <c r="N563" s="7"/>
      <c r="O563" s="7"/>
      <c r="P563" s="7"/>
      <c r="Q563" s="7"/>
      <c r="R563" s="7"/>
      <c r="S563" s="7"/>
      <c r="T563" s="7"/>
      <c r="U563" s="7"/>
      <c r="V563" s="7"/>
      <c r="W563" s="7"/>
      <c r="X563" s="7"/>
      <c r="Y563" s="7"/>
      <c r="Z563" s="7"/>
      <c r="AA563" s="7"/>
    </row>
    <row r="564">
      <c r="A564" s="242"/>
      <c r="B564" s="242"/>
      <c r="C564" s="177"/>
      <c r="D564" s="177"/>
      <c r="E564" s="177"/>
      <c r="F564" s="177"/>
      <c r="G564" s="177"/>
      <c r="H564" s="148"/>
      <c r="I564" s="7"/>
      <c r="J564" s="7"/>
      <c r="K564" s="7"/>
      <c r="L564" s="7"/>
      <c r="M564" s="7"/>
      <c r="N564" s="7"/>
      <c r="O564" s="7"/>
      <c r="P564" s="7"/>
      <c r="Q564" s="7"/>
      <c r="R564" s="7"/>
      <c r="S564" s="7"/>
      <c r="T564" s="7"/>
      <c r="U564" s="7"/>
      <c r="V564" s="7"/>
      <c r="W564" s="7"/>
      <c r="X564" s="7"/>
      <c r="Y564" s="7"/>
      <c r="Z564" s="7"/>
      <c r="AA564" s="7"/>
    </row>
    <row r="565">
      <c r="A565" s="242"/>
      <c r="B565" s="242"/>
      <c r="C565" s="177"/>
      <c r="D565" s="177"/>
      <c r="E565" s="177"/>
      <c r="F565" s="177"/>
      <c r="G565" s="177"/>
      <c r="H565" s="148"/>
      <c r="I565" s="7"/>
      <c r="J565" s="7"/>
      <c r="K565" s="7"/>
      <c r="L565" s="7"/>
      <c r="M565" s="7"/>
      <c r="N565" s="7"/>
      <c r="O565" s="7"/>
      <c r="P565" s="7"/>
      <c r="Q565" s="7"/>
      <c r="R565" s="7"/>
      <c r="S565" s="7"/>
      <c r="T565" s="7"/>
      <c r="U565" s="7"/>
      <c r="V565" s="7"/>
      <c r="W565" s="7"/>
      <c r="X565" s="7"/>
      <c r="Y565" s="7"/>
      <c r="Z565" s="7"/>
      <c r="AA565" s="7"/>
    </row>
    <row r="566">
      <c r="A566" s="242"/>
      <c r="B566" s="242"/>
      <c r="C566" s="177"/>
      <c r="D566" s="177"/>
      <c r="E566" s="177"/>
      <c r="F566" s="177"/>
      <c r="G566" s="177"/>
      <c r="H566" s="148"/>
      <c r="I566" s="7"/>
      <c r="J566" s="7"/>
      <c r="K566" s="7"/>
      <c r="L566" s="7"/>
      <c r="M566" s="7"/>
      <c r="N566" s="7"/>
      <c r="O566" s="7"/>
      <c r="P566" s="7"/>
      <c r="Q566" s="7"/>
      <c r="R566" s="7"/>
      <c r="S566" s="7"/>
      <c r="T566" s="7"/>
      <c r="U566" s="7"/>
      <c r="V566" s="7"/>
      <c r="W566" s="7"/>
      <c r="X566" s="7"/>
      <c r="Y566" s="7"/>
      <c r="Z566" s="7"/>
      <c r="AA566" s="7"/>
    </row>
    <row r="567">
      <c r="A567" s="242"/>
      <c r="B567" s="242"/>
      <c r="C567" s="177"/>
      <c r="D567" s="177"/>
      <c r="E567" s="177"/>
      <c r="F567" s="177"/>
      <c r="G567" s="177"/>
      <c r="H567" s="148"/>
      <c r="I567" s="7"/>
      <c r="J567" s="7"/>
      <c r="K567" s="7"/>
      <c r="L567" s="7"/>
      <c r="M567" s="7"/>
      <c r="N567" s="7"/>
      <c r="O567" s="7"/>
      <c r="P567" s="7"/>
      <c r="Q567" s="7"/>
      <c r="R567" s="7"/>
      <c r="S567" s="7"/>
      <c r="T567" s="7"/>
      <c r="U567" s="7"/>
      <c r="V567" s="7"/>
      <c r="W567" s="7"/>
      <c r="X567" s="7"/>
      <c r="Y567" s="7"/>
      <c r="Z567" s="7"/>
      <c r="AA567" s="7"/>
    </row>
    <row r="568">
      <c r="A568" s="242"/>
      <c r="B568" s="242"/>
      <c r="C568" s="177"/>
      <c r="D568" s="177"/>
      <c r="E568" s="177"/>
      <c r="F568" s="177"/>
      <c r="G568" s="177"/>
      <c r="H568" s="148"/>
      <c r="I568" s="7"/>
      <c r="J568" s="7"/>
      <c r="K568" s="7"/>
      <c r="L568" s="7"/>
      <c r="M568" s="7"/>
      <c r="N568" s="7"/>
      <c r="O568" s="7"/>
      <c r="P568" s="7"/>
      <c r="Q568" s="7"/>
      <c r="R568" s="7"/>
      <c r="S568" s="7"/>
      <c r="T568" s="7"/>
      <c r="U568" s="7"/>
      <c r="V568" s="7"/>
      <c r="W568" s="7"/>
      <c r="X568" s="7"/>
      <c r="Y568" s="7"/>
      <c r="Z568" s="7"/>
      <c r="AA568" s="7"/>
    </row>
    <row r="569">
      <c r="A569" s="242"/>
      <c r="B569" s="242"/>
      <c r="C569" s="177"/>
      <c r="D569" s="177"/>
      <c r="E569" s="177"/>
      <c r="F569" s="177"/>
      <c r="G569" s="177"/>
      <c r="H569" s="148"/>
      <c r="I569" s="7"/>
      <c r="J569" s="7"/>
      <c r="K569" s="7"/>
      <c r="L569" s="7"/>
      <c r="M569" s="7"/>
      <c r="N569" s="7"/>
      <c r="O569" s="7"/>
      <c r="P569" s="7"/>
      <c r="Q569" s="7"/>
      <c r="R569" s="7"/>
      <c r="S569" s="7"/>
      <c r="T569" s="7"/>
      <c r="U569" s="7"/>
      <c r="V569" s="7"/>
      <c r="W569" s="7"/>
      <c r="X569" s="7"/>
      <c r="Y569" s="7"/>
      <c r="Z569" s="7"/>
      <c r="AA569" s="7"/>
    </row>
    <row r="570">
      <c r="A570" s="242"/>
      <c r="B570" s="242"/>
      <c r="C570" s="177"/>
      <c r="D570" s="177"/>
      <c r="E570" s="177"/>
      <c r="F570" s="177"/>
      <c r="G570" s="177"/>
      <c r="H570" s="148"/>
      <c r="I570" s="7"/>
      <c r="J570" s="7"/>
      <c r="K570" s="7"/>
      <c r="L570" s="7"/>
      <c r="M570" s="7"/>
      <c r="N570" s="7"/>
      <c r="O570" s="7"/>
      <c r="P570" s="7"/>
      <c r="Q570" s="7"/>
      <c r="R570" s="7"/>
      <c r="S570" s="7"/>
      <c r="T570" s="7"/>
      <c r="U570" s="7"/>
      <c r="V570" s="7"/>
      <c r="W570" s="7"/>
      <c r="X570" s="7"/>
      <c r="Y570" s="7"/>
      <c r="Z570" s="7"/>
      <c r="AA570" s="7"/>
    </row>
    <row r="571">
      <c r="A571" s="242"/>
      <c r="B571" s="242"/>
      <c r="C571" s="177"/>
      <c r="D571" s="177"/>
      <c r="E571" s="177"/>
      <c r="F571" s="177"/>
      <c r="G571" s="177"/>
      <c r="H571" s="148"/>
      <c r="I571" s="7"/>
      <c r="J571" s="7"/>
      <c r="K571" s="7"/>
      <c r="L571" s="7"/>
      <c r="M571" s="7"/>
      <c r="N571" s="7"/>
      <c r="O571" s="7"/>
      <c r="P571" s="7"/>
      <c r="Q571" s="7"/>
      <c r="R571" s="7"/>
      <c r="S571" s="7"/>
      <c r="T571" s="7"/>
      <c r="U571" s="7"/>
      <c r="V571" s="7"/>
      <c r="W571" s="7"/>
      <c r="X571" s="7"/>
      <c r="Y571" s="7"/>
      <c r="Z571" s="7"/>
      <c r="AA571" s="7"/>
    </row>
    <row r="572">
      <c r="A572" s="242"/>
      <c r="B572" s="242"/>
      <c r="C572" s="177"/>
      <c r="D572" s="177"/>
      <c r="E572" s="177"/>
      <c r="F572" s="177"/>
      <c r="G572" s="177"/>
      <c r="H572" s="148"/>
      <c r="I572" s="7"/>
      <c r="J572" s="7"/>
      <c r="K572" s="7"/>
      <c r="L572" s="7"/>
      <c r="M572" s="7"/>
      <c r="N572" s="7"/>
      <c r="O572" s="7"/>
      <c r="P572" s="7"/>
      <c r="Q572" s="7"/>
      <c r="R572" s="7"/>
      <c r="S572" s="7"/>
      <c r="T572" s="7"/>
      <c r="U572" s="7"/>
      <c r="V572" s="7"/>
      <c r="W572" s="7"/>
      <c r="X572" s="7"/>
      <c r="Y572" s="7"/>
      <c r="Z572" s="7"/>
      <c r="AA572" s="7"/>
    </row>
    <row r="573">
      <c r="A573" s="242"/>
      <c r="B573" s="242"/>
      <c r="C573" s="177"/>
      <c r="D573" s="177"/>
      <c r="E573" s="177"/>
      <c r="F573" s="177"/>
      <c r="G573" s="177"/>
      <c r="H573" s="148"/>
      <c r="I573" s="7"/>
      <c r="J573" s="7"/>
      <c r="K573" s="7"/>
      <c r="L573" s="7"/>
      <c r="M573" s="7"/>
      <c r="N573" s="7"/>
      <c r="O573" s="7"/>
      <c r="P573" s="7"/>
      <c r="Q573" s="7"/>
      <c r="R573" s="7"/>
      <c r="S573" s="7"/>
      <c r="T573" s="7"/>
      <c r="U573" s="7"/>
      <c r="V573" s="7"/>
      <c r="W573" s="7"/>
      <c r="X573" s="7"/>
      <c r="Y573" s="7"/>
      <c r="Z573" s="7"/>
      <c r="AA573" s="7"/>
    </row>
    <row r="574">
      <c r="A574" s="242"/>
      <c r="B574" s="242"/>
      <c r="C574" s="177"/>
      <c r="D574" s="177"/>
      <c r="E574" s="177"/>
      <c r="F574" s="177"/>
      <c r="G574" s="177"/>
      <c r="H574" s="148"/>
      <c r="I574" s="7"/>
      <c r="J574" s="7"/>
      <c r="K574" s="7"/>
      <c r="L574" s="7"/>
      <c r="M574" s="7"/>
      <c r="N574" s="7"/>
      <c r="O574" s="7"/>
      <c r="P574" s="7"/>
      <c r="Q574" s="7"/>
      <c r="R574" s="7"/>
      <c r="S574" s="7"/>
      <c r="T574" s="7"/>
      <c r="U574" s="7"/>
      <c r="V574" s="7"/>
      <c r="W574" s="7"/>
      <c r="X574" s="7"/>
      <c r="Y574" s="7"/>
      <c r="Z574" s="7"/>
      <c r="AA574" s="7"/>
    </row>
    <row r="575">
      <c r="A575" s="242"/>
      <c r="B575" s="242"/>
      <c r="C575" s="177"/>
      <c r="D575" s="177"/>
      <c r="E575" s="177"/>
      <c r="F575" s="177"/>
      <c r="G575" s="177"/>
      <c r="H575" s="148"/>
      <c r="I575" s="7"/>
      <c r="J575" s="7"/>
      <c r="K575" s="7"/>
      <c r="L575" s="7"/>
      <c r="M575" s="7"/>
      <c r="N575" s="7"/>
      <c r="O575" s="7"/>
      <c r="P575" s="7"/>
      <c r="Q575" s="7"/>
      <c r="R575" s="7"/>
      <c r="S575" s="7"/>
      <c r="T575" s="7"/>
      <c r="U575" s="7"/>
      <c r="V575" s="7"/>
      <c r="W575" s="7"/>
      <c r="X575" s="7"/>
      <c r="Y575" s="7"/>
      <c r="Z575" s="7"/>
      <c r="AA575" s="7"/>
    </row>
    <row r="576">
      <c r="A576" s="242"/>
      <c r="B576" s="242"/>
      <c r="C576" s="177"/>
      <c r="D576" s="177"/>
      <c r="E576" s="177"/>
      <c r="F576" s="177"/>
      <c r="G576" s="177"/>
      <c r="H576" s="148"/>
      <c r="I576" s="7"/>
      <c r="J576" s="7"/>
      <c r="K576" s="7"/>
      <c r="L576" s="7"/>
      <c r="M576" s="7"/>
      <c r="N576" s="7"/>
      <c r="O576" s="7"/>
      <c r="P576" s="7"/>
      <c r="Q576" s="7"/>
      <c r="R576" s="7"/>
      <c r="S576" s="7"/>
      <c r="T576" s="7"/>
      <c r="U576" s="7"/>
      <c r="V576" s="7"/>
      <c r="W576" s="7"/>
      <c r="X576" s="7"/>
      <c r="Y576" s="7"/>
      <c r="Z576" s="7"/>
      <c r="AA576" s="7"/>
    </row>
    <row r="577">
      <c r="A577" s="242"/>
      <c r="B577" s="242"/>
      <c r="C577" s="177"/>
      <c r="D577" s="177"/>
      <c r="E577" s="177"/>
      <c r="F577" s="177"/>
      <c r="G577" s="177"/>
      <c r="H577" s="148"/>
      <c r="I577" s="7"/>
      <c r="J577" s="7"/>
      <c r="K577" s="7"/>
      <c r="L577" s="7"/>
      <c r="M577" s="7"/>
      <c r="N577" s="7"/>
      <c r="O577" s="7"/>
      <c r="P577" s="7"/>
      <c r="Q577" s="7"/>
      <c r="R577" s="7"/>
      <c r="S577" s="7"/>
      <c r="T577" s="7"/>
      <c r="U577" s="7"/>
      <c r="V577" s="7"/>
      <c r="W577" s="7"/>
      <c r="X577" s="7"/>
      <c r="Y577" s="7"/>
      <c r="Z577" s="7"/>
      <c r="AA577" s="7"/>
    </row>
    <row r="578">
      <c r="A578" s="242"/>
      <c r="B578" s="242"/>
      <c r="C578" s="177"/>
      <c r="D578" s="177"/>
      <c r="E578" s="177"/>
      <c r="F578" s="177"/>
      <c r="G578" s="177"/>
      <c r="H578" s="148"/>
      <c r="I578" s="7"/>
      <c r="J578" s="7"/>
      <c r="K578" s="7"/>
      <c r="L578" s="7"/>
      <c r="M578" s="7"/>
      <c r="N578" s="7"/>
      <c r="O578" s="7"/>
      <c r="P578" s="7"/>
      <c r="Q578" s="7"/>
      <c r="R578" s="7"/>
      <c r="S578" s="7"/>
      <c r="T578" s="7"/>
      <c r="U578" s="7"/>
      <c r="V578" s="7"/>
      <c r="W578" s="7"/>
      <c r="X578" s="7"/>
      <c r="Y578" s="7"/>
      <c r="Z578" s="7"/>
      <c r="AA578" s="7"/>
    </row>
    <row r="579">
      <c r="A579" s="242"/>
      <c r="B579" s="242"/>
      <c r="C579" s="177"/>
      <c r="D579" s="177"/>
      <c r="E579" s="177"/>
      <c r="F579" s="177"/>
      <c r="G579" s="177"/>
      <c r="H579" s="148"/>
      <c r="I579" s="7"/>
      <c r="J579" s="7"/>
      <c r="K579" s="7"/>
      <c r="L579" s="7"/>
      <c r="M579" s="7"/>
      <c r="N579" s="7"/>
      <c r="O579" s="7"/>
      <c r="P579" s="7"/>
      <c r="Q579" s="7"/>
      <c r="R579" s="7"/>
      <c r="S579" s="7"/>
      <c r="T579" s="7"/>
      <c r="U579" s="7"/>
      <c r="V579" s="7"/>
      <c r="W579" s="7"/>
      <c r="X579" s="7"/>
      <c r="Y579" s="7"/>
      <c r="Z579" s="7"/>
      <c r="AA579" s="7"/>
    </row>
    <row r="580">
      <c r="A580" s="242"/>
      <c r="B580" s="242"/>
      <c r="C580" s="177"/>
      <c r="D580" s="177"/>
      <c r="E580" s="177"/>
      <c r="F580" s="177"/>
      <c r="G580" s="177"/>
      <c r="H580" s="148"/>
      <c r="I580" s="7"/>
      <c r="J580" s="7"/>
      <c r="K580" s="7"/>
      <c r="L580" s="7"/>
      <c r="M580" s="7"/>
      <c r="N580" s="7"/>
      <c r="O580" s="7"/>
      <c r="P580" s="7"/>
      <c r="Q580" s="7"/>
      <c r="R580" s="7"/>
      <c r="S580" s="7"/>
      <c r="T580" s="7"/>
      <c r="U580" s="7"/>
      <c r="V580" s="7"/>
      <c r="W580" s="7"/>
      <c r="X580" s="7"/>
      <c r="Y580" s="7"/>
      <c r="Z580" s="7"/>
      <c r="AA580" s="7"/>
    </row>
    <row r="581">
      <c r="A581" s="242"/>
      <c r="B581" s="242"/>
      <c r="C581" s="177"/>
      <c r="D581" s="177"/>
      <c r="E581" s="177"/>
      <c r="F581" s="177"/>
      <c r="G581" s="177"/>
      <c r="H581" s="148"/>
      <c r="I581" s="7"/>
      <c r="J581" s="7"/>
      <c r="K581" s="7"/>
      <c r="L581" s="7"/>
      <c r="M581" s="7"/>
      <c r="N581" s="7"/>
      <c r="O581" s="7"/>
      <c r="P581" s="7"/>
      <c r="Q581" s="7"/>
      <c r="R581" s="7"/>
      <c r="S581" s="7"/>
      <c r="T581" s="7"/>
      <c r="U581" s="7"/>
      <c r="V581" s="7"/>
      <c r="W581" s="7"/>
      <c r="X581" s="7"/>
      <c r="Y581" s="7"/>
      <c r="Z581" s="7"/>
      <c r="AA581" s="7"/>
    </row>
    <row r="582">
      <c r="A582" s="242"/>
      <c r="B582" s="242"/>
      <c r="C582" s="177"/>
      <c r="D582" s="177"/>
      <c r="E582" s="177"/>
      <c r="F582" s="177"/>
      <c r="G582" s="177"/>
      <c r="H582" s="148"/>
      <c r="I582" s="7"/>
      <c r="J582" s="7"/>
      <c r="K582" s="7"/>
      <c r="L582" s="7"/>
      <c r="M582" s="7"/>
      <c r="N582" s="7"/>
      <c r="O582" s="7"/>
      <c r="P582" s="7"/>
      <c r="Q582" s="7"/>
      <c r="R582" s="7"/>
      <c r="S582" s="7"/>
      <c r="T582" s="7"/>
      <c r="U582" s="7"/>
      <c r="V582" s="7"/>
      <c r="W582" s="7"/>
      <c r="X582" s="7"/>
      <c r="Y582" s="7"/>
      <c r="Z582" s="7"/>
      <c r="AA582" s="7"/>
    </row>
    <row r="583">
      <c r="A583" s="242"/>
      <c r="B583" s="242"/>
      <c r="C583" s="177"/>
      <c r="D583" s="177"/>
      <c r="E583" s="177"/>
      <c r="F583" s="177"/>
      <c r="G583" s="177"/>
      <c r="H583" s="148"/>
      <c r="I583" s="7"/>
      <c r="J583" s="7"/>
      <c r="K583" s="7"/>
      <c r="L583" s="7"/>
      <c r="M583" s="7"/>
      <c r="N583" s="7"/>
      <c r="O583" s="7"/>
      <c r="P583" s="7"/>
      <c r="Q583" s="7"/>
      <c r="R583" s="7"/>
      <c r="S583" s="7"/>
      <c r="T583" s="7"/>
      <c r="U583" s="7"/>
      <c r="V583" s="7"/>
      <c r="W583" s="7"/>
      <c r="X583" s="7"/>
      <c r="Y583" s="7"/>
      <c r="Z583" s="7"/>
      <c r="AA583" s="7"/>
    </row>
    <row r="584">
      <c r="A584" s="242"/>
      <c r="B584" s="242"/>
      <c r="C584" s="177"/>
      <c r="D584" s="177"/>
      <c r="E584" s="177"/>
      <c r="F584" s="177"/>
      <c r="G584" s="177"/>
      <c r="H584" s="148"/>
      <c r="I584" s="7"/>
      <c r="J584" s="7"/>
      <c r="K584" s="7"/>
      <c r="L584" s="7"/>
      <c r="M584" s="7"/>
      <c r="N584" s="7"/>
      <c r="O584" s="7"/>
      <c r="P584" s="7"/>
      <c r="Q584" s="7"/>
      <c r="R584" s="7"/>
      <c r="S584" s="7"/>
      <c r="T584" s="7"/>
      <c r="U584" s="7"/>
      <c r="V584" s="7"/>
      <c r="W584" s="7"/>
      <c r="X584" s="7"/>
      <c r="Y584" s="7"/>
      <c r="Z584" s="7"/>
      <c r="AA584" s="7"/>
    </row>
    <row r="585">
      <c r="A585" s="242"/>
      <c r="B585" s="242"/>
      <c r="C585" s="177"/>
      <c r="D585" s="177"/>
      <c r="E585" s="177"/>
      <c r="F585" s="177"/>
      <c r="G585" s="177"/>
      <c r="H585" s="148"/>
      <c r="I585" s="7"/>
      <c r="J585" s="7"/>
      <c r="K585" s="7"/>
      <c r="L585" s="7"/>
      <c r="M585" s="7"/>
      <c r="N585" s="7"/>
      <c r="O585" s="7"/>
      <c r="P585" s="7"/>
      <c r="Q585" s="7"/>
      <c r="R585" s="7"/>
      <c r="S585" s="7"/>
      <c r="T585" s="7"/>
      <c r="U585" s="7"/>
      <c r="V585" s="7"/>
      <c r="W585" s="7"/>
      <c r="X585" s="7"/>
      <c r="Y585" s="7"/>
      <c r="Z585" s="7"/>
      <c r="AA585" s="7"/>
    </row>
    <row r="586">
      <c r="A586" s="242"/>
      <c r="B586" s="242"/>
      <c r="C586" s="177"/>
      <c r="D586" s="177"/>
      <c r="E586" s="177"/>
      <c r="F586" s="177"/>
      <c r="G586" s="177"/>
      <c r="H586" s="148"/>
      <c r="I586" s="7"/>
      <c r="J586" s="7"/>
      <c r="K586" s="7"/>
      <c r="L586" s="7"/>
      <c r="M586" s="7"/>
      <c r="N586" s="7"/>
      <c r="O586" s="7"/>
      <c r="P586" s="7"/>
      <c r="Q586" s="7"/>
      <c r="R586" s="7"/>
      <c r="S586" s="7"/>
      <c r="T586" s="7"/>
      <c r="U586" s="7"/>
      <c r="V586" s="7"/>
      <c r="W586" s="7"/>
      <c r="X586" s="7"/>
      <c r="Y586" s="7"/>
      <c r="Z586" s="7"/>
      <c r="AA586" s="7"/>
    </row>
    <row r="587">
      <c r="A587" s="242"/>
      <c r="B587" s="242"/>
      <c r="C587" s="177"/>
      <c r="D587" s="177"/>
      <c r="E587" s="177"/>
      <c r="F587" s="177"/>
      <c r="G587" s="177"/>
      <c r="H587" s="148"/>
      <c r="I587" s="7"/>
      <c r="J587" s="7"/>
      <c r="K587" s="7"/>
      <c r="L587" s="7"/>
      <c r="M587" s="7"/>
      <c r="N587" s="7"/>
      <c r="O587" s="7"/>
      <c r="P587" s="7"/>
      <c r="Q587" s="7"/>
      <c r="R587" s="7"/>
      <c r="S587" s="7"/>
      <c r="T587" s="7"/>
      <c r="U587" s="7"/>
      <c r="V587" s="7"/>
      <c r="W587" s="7"/>
      <c r="X587" s="7"/>
      <c r="Y587" s="7"/>
      <c r="Z587" s="7"/>
      <c r="AA587" s="7"/>
    </row>
    <row r="588">
      <c r="A588" s="242"/>
      <c r="B588" s="242"/>
      <c r="C588" s="177"/>
      <c r="D588" s="177"/>
      <c r="E588" s="177"/>
      <c r="F588" s="177"/>
      <c r="G588" s="177"/>
      <c r="H588" s="148"/>
      <c r="I588" s="7"/>
      <c r="J588" s="7"/>
      <c r="K588" s="7"/>
      <c r="L588" s="7"/>
      <c r="M588" s="7"/>
      <c r="N588" s="7"/>
      <c r="O588" s="7"/>
      <c r="P588" s="7"/>
      <c r="Q588" s="7"/>
      <c r="R588" s="7"/>
      <c r="S588" s="7"/>
      <c r="T588" s="7"/>
      <c r="U588" s="7"/>
      <c r="V588" s="7"/>
      <c r="W588" s="7"/>
      <c r="X588" s="7"/>
      <c r="Y588" s="7"/>
      <c r="Z588" s="7"/>
      <c r="AA588" s="7"/>
    </row>
    <row r="589">
      <c r="A589" s="242"/>
      <c r="B589" s="242"/>
      <c r="C589" s="177"/>
      <c r="D589" s="177"/>
      <c r="E589" s="177"/>
      <c r="F589" s="177"/>
      <c r="G589" s="177"/>
      <c r="H589" s="148"/>
      <c r="I589" s="7"/>
      <c r="J589" s="7"/>
      <c r="K589" s="7"/>
      <c r="L589" s="7"/>
      <c r="M589" s="7"/>
      <c r="N589" s="7"/>
      <c r="O589" s="7"/>
      <c r="P589" s="7"/>
      <c r="Q589" s="7"/>
      <c r="R589" s="7"/>
      <c r="S589" s="7"/>
      <c r="T589" s="7"/>
      <c r="U589" s="7"/>
      <c r="V589" s="7"/>
      <c r="W589" s="7"/>
      <c r="X589" s="7"/>
      <c r="Y589" s="7"/>
      <c r="Z589" s="7"/>
      <c r="AA589" s="7"/>
    </row>
    <row r="590">
      <c r="A590" s="242"/>
      <c r="B590" s="242"/>
      <c r="C590" s="177"/>
      <c r="D590" s="177"/>
      <c r="E590" s="177"/>
      <c r="F590" s="177"/>
      <c r="G590" s="177"/>
      <c r="H590" s="148"/>
      <c r="I590" s="7"/>
      <c r="J590" s="7"/>
      <c r="K590" s="7"/>
      <c r="L590" s="7"/>
      <c r="M590" s="7"/>
      <c r="N590" s="7"/>
      <c r="O590" s="7"/>
      <c r="P590" s="7"/>
      <c r="Q590" s="7"/>
      <c r="R590" s="7"/>
      <c r="S590" s="7"/>
      <c r="T590" s="7"/>
      <c r="U590" s="7"/>
      <c r="V590" s="7"/>
      <c r="W590" s="7"/>
      <c r="X590" s="7"/>
      <c r="Y590" s="7"/>
      <c r="Z590" s="7"/>
      <c r="AA590" s="7"/>
    </row>
    <row r="591">
      <c r="A591" s="242"/>
      <c r="B591" s="242"/>
      <c r="C591" s="177"/>
      <c r="D591" s="177"/>
      <c r="E591" s="177"/>
      <c r="F591" s="177"/>
      <c r="G591" s="177"/>
      <c r="H591" s="148"/>
      <c r="I591" s="7"/>
      <c r="J591" s="7"/>
      <c r="K591" s="7"/>
      <c r="L591" s="7"/>
      <c r="M591" s="7"/>
      <c r="N591" s="7"/>
      <c r="O591" s="7"/>
      <c r="P591" s="7"/>
      <c r="Q591" s="7"/>
      <c r="R591" s="7"/>
      <c r="S591" s="7"/>
      <c r="T591" s="7"/>
      <c r="U591" s="7"/>
      <c r="V591" s="7"/>
      <c r="W591" s="7"/>
      <c r="X591" s="7"/>
      <c r="Y591" s="7"/>
      <c r="Z591" s="7"/>
      <c r="AA591" s="7"/>
    </row>
    <row r="592">
      <c r="A592" s="242"/>
      <c r="B592" s="242"/>
      <c r="C592" s="177"/>
      <c r="D592" s="177"/>
      <c r="E592" s="177"/>
      <c r="F592" s="177"/>
      <c r="G592" s="177"/>
      <c r="H592" s="148"/>
      <c r="I592" s="7"/>
      <c r="J592" s="7"/>
      <c r="K592" s="7"/>
      <c r="L592" s="7"/>
      <c r="M592" s="7"/>
      <c r="N592" s="7"/>
      <c r="O592" s="7"/>
      <c r="P592" s="7"/>
      <c r="Q592" s="7"/>
      <c r="R592" s="7"/>
      <c r="S592" s="7"/>
      <c r="T592" s="7"/>
      <c r="U592" s="7"/>
      <c r="V592" s="7"/>
      <c r="W592" s="7"/>
      <c r="X592" s="7"/>
      <c r="Y592" s="7"/>
      <c r="Z592" s="7"/>
      <c r="AA592" s="7"/>
    </row>
    <row r="593">
      <c r="A593" s="242"/>
      <c r="B593" s="242"/>
      <c r="C593" s="177"/>
      <c r="D593" s="177"/>
      <c r="E593" s="177"/>
      <c r="F593" s="177"/>
      <c r="G593" s="177"/>
      <c r="H593" s="148"/>
      <c r="I593" s="7"/>
      <c r="J593" s="7"/>
      <c r="K593" s="7"/>
      <c r="L593" s="7"/>
      <c r="M593" s="7"/>
      <c r="N593" s="7"/>
      <c r="O593" s="7"/>
      <c r="P593" s="7"/>
      <c r="Q593" s="7"/>
      <c r="R593" s="7"/>
      <c r="S593" s="7"/>
      <c r="T593" s="7"/>
      <c r="U593" s="7"/>
      <c r="V593" s="7"/>
      <c r="W593" s="7"/>
      <c r="X593" s="7"/>
      <c r="Y593" s="7"/>
      <c r="Z593" s="7"/>
      <c r="AA593" s="7"/>
    </row>
    <row r="594">
      <c r="A594" s="242"/>
      <c r="B594" s="242"/>
      <c r="C594" s="177"/>
      <c r="D594" s="177"/>
      <c r="E594" s="177"/>
      <c r="F594" s="177"/>
      <c r="G594" s="177"/>
      <c r="H594" s="148"/>
      <c r="I594" s="7"/>
      <c r="J594" s="7"/>
      <c r="K594" s="7"/>
      <c r="L594" s="7"/>
      <c r="M594" s="7"/>
      <c r="N594" s="7"/>
      <c r="O594" s="7"/>
      <c r="P594" s="7"/>
      <c r="Q594" s="7"/>
      <c r="R594" s="7"/>
      <c r="S594" s="7"/>
      <c r="T594" s="7"/>
      <c r="U594" s="7"/>
      <c r="V594" s="7"/>
      <c r="W594" s="7"/>
      <c r="X594" s="7"/>
      <c r="Y594" s="7"/>
      <c r="Z594" s="7"/>
      <c r="AA594" s="7"/>
    </row>
    <row r="595">
      <c r="A595" s="242"/>
      <c r="B595" s="242"/>
      <c r="C595" s="177"/>
      <c r="D595" s="177"/>
      <c r="E595" s="177"/>
      <c r="F595" s="177"/>
      <c r="G595" s="177"/>
      <c r="H595" s="148"/>
      <c r="I595" s="7"/>
      <c r="J595" s="7"/>
      <c r="K595" s="7"/>
      <c r="L595" s="7"/>
      <c r="M595" s="7"/>
      <c r="N595" s="7"/>
      <c r="O595" s="7"/>
      <c r="P595" s="7"/>
      <c r="Q595" s="7"/>
      <c r="R595" s="7"/>
      <c r="S595" s="7"/>
      <c r="T595" s="7"/>
      <c r="U595" s="7"/>
      <c r="V595" s="7"/>
      <c r="W595" s="7"/>
      <c r="X595" s="7"/>
      <c r="Y595" s="7"/>
      <c r="Z595" s="7"/>
      <c r="AA595" s="7"/>
    </row>
    <row r="596">
      <c r="A596" s="242"/>
      <c r="B596" s="242"/>
      <c r="C596" s="177"/>
      <c r="D596" s="177"/>
      <c r="E596" s="177"/>
      <c r="F596" s="177"/>
      <c r="G596" s="177"/>
      <c r="H596" s="148"/>
      <c r="I596" s="7"/>
      <c r="J596" s="7"/>
      <c r="K596" s="7"/>
      <c r="L596" s="7"/>
      <c r="M596" s="7"/>
      <c r="N596" s="7"/>
      <c r="O596" s="7"/>
      <c r="P596" s="7"/>
      <c r="Q596" s="7"/>
      <c r="R596" s="7"/>
      <c r="S596" s="7"/>
      <c r="T596" s="7"/>
      <c r="U596" s="7"/>
      <c r="V596" s="7"/>
      <c r="W596" s="7"/>
      <c r="X596" s="7"/>
      <c r="Y596" s="7"/>
      <c r="Z596" s="7"/>
      <c r="AA596" s="7"/>
    </row>
    <row r="597">
      <c r="A597" s="242"/>
      <c r="B597" s="242"/>
      <c r="C597" s="177"/>
      <c r="D597" s="177"/>
      <c r="E597" s="177"/>
      <c r="F597" s="177"/>
      <c r="G597" s="177"/>
      <c r="H597" s="148"/>
      <c r="I597" s="7"/>
      <c r="J597" s="7"/>
      <c r="K597" s="7"/>
      <c r="L597" s="7"/>
      <c r="M597" s="7"/>
      <c r="N597" s="7"/>
      <c r="O597" s="7"/>
      <c r="P597" s="7"/>
      <c r="Q597" s="7"/>
      <c r="R597" s="7"/>
      <c r="S597" s="7"/>
      <c r="T597" s="7"/>
      <c r="U597" s="7"/>
      <c r="V597" s="7"/>
      <c r="W597" s="7"/>
      <c r="X597" s="7"/>
      <c r="Y597" s="7"/>
      <c r="Z597" s="7"/>
      <c r="AA597" s="7"/>
    </row>
    <row r="598">
      <c r="A598" s="242"/>
      <c r="B598" s="242"/>
      <c r="C598" s="177"/>
      <c r="D598" s="177"/>
      <c r="E598" s="177"/>
      <c r="F598" s="177"/>
      <c r="G598" s="177"/>
      <c r="H598" s="148"/>
      <c r="I598" s="7"/>
      <c r="J598" s="7"/>
      <c r="K598" s="7"/>
      <c r="L598" s="7"/>
      <c r="M598" s="7"/>
      <c r="N598" s="7"/>
      <c r="O598" s="7"/>
      <c r="P598" s="7"/>
      <c r="Q598" s="7"/>
      <c r="R598" s="7"/>
      <c r="S598" s="7"/>
      <c r="T598" s="7"/>
      <c r="U598" s="7"/>
      <c r="V598" s="7"/>
      <c r="W598" s="7"/>
      <c r="X598" s="7"/>
      <c r="Y598" s="7"/>
      <c r="Z598" s="7"/>
      <c r="AA598" s="7"/>
    </row>
    <row r="599">
      <c r="A599" s="242"/>
      <c r="B599" s="242"/>
      <c r="C599" s="177"/>
      <c r="D599" s="177"/>
      <c r="E599" s="177"/>
      <c r="F599" s="177"/>
      <c r="G599" s="177"/>
      <c r="H599" s="148"/>
      <c r="I599" s="7"/>
      <c r="J599" s="7"/>
      <c r="K599" s="7"/>
      <c r="L599" s="7"/>
      <c r="M599" s="7"/>
      <c r="N599" s="7"/>
      <c r="O599" s="7"/>
      <c r="P599" s="7"/>
      <c r="Q599" s="7"/>
      <c r="R599" s="7"/>
      <c r="S599" s="7"/>
      <c r="T599" s="7"/>
      <c r="U599" s="7"/>
      <c r="V599" s="7"/>
      <c r="W599" s="7"/>
      <c r="X599" s="7"/>
      <c r="Y599" s="7"/>
      <c r="Z599" s="7"/>
      <c r="AA599" s="7"/>
    </row>
    <row r="600">
      <c r="A600" s="242"/>
      <c r="B600" s="242"/>
      <c r="C600" s="177"/>
      <c r="D600" s="177"/>
      <c r="E600" s="177"/>
      <c r="F600" s="177"/>
      <c r="G600" s="177"/>
      <c r="H600" s="148"/>
      <c r="I600" s="7"/>
      <c r="J600" s="7"/>
      <c r="K600" s="7"/>
      <c r="L600" s="7"/>
      <c r="M600" s="7"/>
      <c r="N600" s="7"/>
      <c r="O600" s="7"/>
      <c r="P600" s="7"/>
      <c r="Q600" s="7"/>
      <c r="R600" s="7"/>
      <c r="S600" s="7"/>
      <c r="T600" s="7"/>
      <c r="U600" s="7"/>
      <c r="V600" s="7"/>
      <c r="W600" s="7"/>
      <c r="X600" s="7"/>
      <c r="Y600" s="7"/>
      <c r="Z600" s="7"/>
      <c r="AA600" s="7"/>
    </row>
    <row r="601">
      <c r="A601" s="242"/>
      <c r="B601" s="242"/>
      <c r="C601" s="177"/>
      <c r="D601" s="177"/>
      <c r="E601" s="177"/>
      <c r="F601" s="177"/>
      <c r="G601" s="177"/>
      <c r="H601" s="148"/>
      <c r="I601" s="7"/>
      <c r="J601" s="7"/>
      <c r="K601" s="7"/>
      <c r="L601" s="7"/>
      <c r="M601" s="7"/>
      <c r="N601" s="7"/>
      <c r="O601" s="7"/>
      <c r="P601" s="7"/>
      <c r="Q601" s="7"/>
      <c r="R601" s="7"/>
      <c r="S601" s="7"/>
      <c r="T601" s="7"/>
      <c r="U601" s="7"/>
      <c r="V601" s="7"/>
      <c r="W601" s="7"/>
      <c r="X601" s="7"/>
      <c r="Y601" s="7"/>
      <c r="Z601" s="7"/>
      <c r="AA601" s="7"/>
    </row>
    <row r="602">
      <c r="A602" s="242"/>
      <c r="B602" s="242"/>
      <c r="C602" s="177"/>
      <c r="D602" s="177"/>
      <c r="E602" s="177"/>
      <c r="F602" s="177"/>
      <c r="G602" s="177"/>
      <c r="H602" s="148"/>
      <c r="I602" s="7"/>
      <c r="J602" s="7"/>
      <c r="K602" s="7"/>
      <c r="L602" s="7"/>
      <c r="M602" s="7"/>
      <c r="N602" s="7"/>
      <c r="O602" s="7"/>
      <c r="P602" s="7"/>
      <c r="Q602" s="7"/>
      <c r="R602" s="7"/>
      <c r="S602" s="7"/>
      <c r="T602" s="7"/>
      <c r="U602" s="7"/>
      <c r="V602" s="7"/>
      <c r="W602" s="7"/>
      <c r="X602" s="7"/>
      <c r="Y602" s="7"/>
      <c r="Z602" s="7"/>
      <c r="AA602" s="7"/>
    </row>
    <row r="603">
      <c r="A603" s="242"/>
      <c r="B603" s="242"/>
      <c r="C603" s="177"/>
      <c r="D603" s="177"/>
      <c r="E603" s="177"/>
      <c r="F603" s="177"/>
      <c r="G603" s="177"/>
      <c r="H603" s="148"/>
      <c r="I603" s="7"/>
      <c r="J603" s="7"/>
      <c r="K603" s="7"/>
      <c r="L603" s="7"/>
      <c r="M603" s="7"/>
      <c r="N603" s="7"/>
      <c r="O603" s="7"/>
      <c r="P603" s="7"/>
      <c r="Q603" s="7"/>
      <c r="R603" s="7"/>
      <c r="S603" s="7"/>
      <c r="T603" s="7"/>
      <c r="U603" s="7"/>
      <c r="V603" s="7"/>
      <c r="W603" s="7"/>
      <c r="X603" s="7"/>
      <c r="Y603" s="7"/>
      <c r="Z603" s="7"/>
      <c r="AA603" s="7"/>
    </row>
    <row r="604">
      <c r="A604" s="242"/>
      <c r="B604" s="242"/>
      <c r="C604" s="177"/>
      <c r="D604" s="177"/>
      <c r="E604" s="177"/>
      <c r="F604" s="177"/>
      <c r="G604" s="177"/>
      <c r="H604" s="148"/>
      <c r="I604" s="7"/>
      <c r="J604" s="7"/>
      <c r="K604" s="7"/>
      <c r="L604" s="7"/>
      <c r="M604" s="7"/>
      <c r="N604" s="7"/>
      <c r="O604" s="7"/>
      <c r="P604" s="7"/>
      <c r="Q604" s="7"/>
      <c r="R604" s="7"/>
      <c r="S604" s="7"/>
      <c r="T604" s="7"/>
      <c r="U604" s="7"/>
      <c r="V604" s="7"/>
      <c r="W604" s="7"/>
      <c r="X604" s="7"/>
      <c r="Y604" s="7"/>
      <c r="Z604" s="7"/>
      <c r="AA604" s="7"/>
    </row>
    <row r="605">
      <c r="A605" s="242"/>
      <c r="B605" s="242"/>
      <c r="C605" s="177"/>
      <c r="D605" s="177"/>
      <c r="E605" s="177"/>
      <c r="F605" s="177"/>
      <c r="G605" s="177"/>
      <c r="H605" s="148"/>
      <c r="I605" s="7"/>
      <c r="J605" s="7"/>
      <c r="K605" s="7"/>
      <c r="L605" s="7"/>
      <c r="M605" s="7"/>
      <c r="N605" s="7"/>
      <c r="O605" s="7"/>
      <c r="P605" s="7"/>
      <c r="Q605" s="7"/>
      <c r="R605" s="7"/>
      <c r="S605" s="7"/>
      <c r="T605" s="7"/>
      <c r="U605" s="7"/>
      <c r="V605" s="7"/>
      <c r="W605" s="7"/>
      <c r="X605" s="7"/>
      <c r="Y605" s="7"/>
      <c r="Z605" s="7"/>
      <c r="AA605" s="7"/>
    </row>
    <row r="606">
      <c r="A606" s="242"/>
      <c r="B606" s="242"/>
      <c r="C606" s="177"/>
      <c r="D606" s="177"/>
      <c r="E606" s="177"/>
      <c r="F606" s="177"/>
      <c r="G606" s="177"/>
      <c r="H606" s="148"/>
      <c r="I606" s="7"/>
      <c r="J606" s="7"/>
      <c r="K606" s="7"/>
      <c r="L606" s="7"/>
      <c r="M606" s="7"/>
      <c r="N606" s="7"/>
      <c r="O606" s="7"/>
      <c r="P606" s="7"/>
      <c r="Q606" s="7"/>
      <c r="R606" s="7"/>
      <c r="S606" s="7"/>
      <c r="T606" s="7"/>
      <c r="U606" s="7"/>
      <c r="V606" s="7"/>
      <c r="W606" s="7"/>
      <c r="X606" s="7"/>
      <c r="Y606" s="7"/>
      <c r="Z606" s="7"/>
      <c r="AA606" s="7"/>
    </row>
    <row r="607">
      <c r="A607" s="242"/>
      <c r="B607" s="242"/>
      <c r="C607" s="177"/>
      <c r="D607" s="177"/>
      <c r="E607" s="177"/>
      <c r="F607" s="177"/>
      <c r="G607" s="177"/>
      <c r="H607" s="148"/>
      <c r="I607" s="7"/>
      <c r="J607" s="7"/>
      <c r="K607" s="7"/>
      <c r="L607" s="7"/>
      <c r="M607" s="7"/>
      <c r="N607" s="7"/>
      <c r="O607" s="7"/>
      <c r="P607" s="7"/>
      <c r="Q607" s="7"/>
      <c r="R607" s="7"/>
      <c r="S607" s="7"/>
      <c r="T607" s="7"/>
      <c r="U607" s="7"/>
      <c r="V607" s="7"/>
      <c r="W607" s="7"/>
      <c r="X607" s="7"/>
      <c r="Y607" s="7"/>
      <c r="Z607" s="7"/>
      <c r="AA607" s="7"/>
    </row>
    <row r="608">
      <c r="A608" s="242"/>
      <c r="B608" s="242"/>
      <c r="C608" s="177"/>
      <c r="D608" s="177"/>
      <c r="E608" s="177"/>
      <c r="F608" s="177"/>
      <c r="G608" s="177"/>
      <c r="H608" s="148"/>
      <c r="I608" s="7"/>
      <c r="J608" s="7"/>
      <c r="K608" s="7"/>
      <c r="L608" s="7"/>
      <c r="M608" s="7"/>
      <c r="N608" s="7"/>
      <c r="O608" s="7"/>
      <c r="P608" s="7"/>
      <c r="Q608" s="7"/>
      <c r="R608" s="7"/>
      <c r="S608" s="7"/>
      <c r="T608" s="7"/>
      <c r="U608" s="7"/>
      <c r="V608" s="7"/>
      <c r="W608" s="7"/>
      <c r="X608" s="7"/>
      <c r="Y608" s="7"/>
      <c r="Z608" s="7"/>
      <c r="AA608" s="7"/>
    </row>
    <row r="609">
      <c r="A609" s="242"/>
      <c r="B609" s="242"/>
      <c r="C609" s="177"/>
      <c r="D609" s="177"/>
      <c r="E609" s="177"/>
      <c r="F609" s="177"/>
      <c r="G609" s="177"/>
      <c r="H609" s="148"/>
      <c r="I609" s="7"/>
      <c r="J609" s="7"/>
      <c r="K609" s="7"/>
      <c r="L609" s="7"/>
      <c r="M609" s="7"/>
      <c r="N609" s="7"/>
      <c r="O609" s="7"/>
      <c r="P609" s="7"/>
      <c r="Q609" s="7"/>
      <c r="R609" s="7"/>
      <c r="S609" s="7"/>
      <c r="T609" s="7"/>
      <c r="U609" s="7"/>
      <c r="V609" s="7"/>
      <c r="W609" s="7"/>
      <c r="X609" s="7"/>
      <c r="Y609" s="7"/>
      <c r="Z609" s="7"/>
      <c r="AA609" s="7"/>
    </row>
    <row r="610">
      <c r="A610" s="242"/>
      <c r="B610" s="242"/>
      <c r="C610" s="177"/>
      <c r="D610" s="177"/>
      <c r="E610" s="177"/>
      <c r="F610" s="177"/>
      <c r="G610" s="177"/>
      <c r="H610" s="148"/>
      <c r="I610" s="7"/>
      <c r="J610" s="7"/>
      <c r="K610" s="7"/>
      <c r="L610" s="7"/>
      <c r="M610" s="7"/>
      <c r="N610" s="7"/>
      <c r="O610" s="7"/>
      <c r="P610" s="7"/>
      <c r="Q610" s="7"/>
      <c r="R610" s="7"/>
      <c r="S610" s="7"/>
      <c r="T610" s="7"/>
      <c r="U610" s="7"/>
      <c r="V610" s="7"/>
      <c r="W610" s="7"/>
      <c r="X610" s="7"/>
      <c r="Y610" s="7"/>
      <c r="Z610" s="7"/>
      <c r="AA610" s="7"/>
    </row>
    <row r="611">
      <c r="A611" s="242"/>
      <c r="B611" s="242"/>
      <c r="C611" s="177"/>
      <c r="D611" s="177"/>
      <c r="E611" s="177"/>
      <c r="F611" s="177"/>
      <c r="G611" s="177"/>
      <c r="H611" s="148"/>
      <c r="I611" s="7"/>
      <c r="J611" s="7"/>
      <c r="K611" s="7"/>
      <c r="L611" s="7"/>
      <c r="M611" s="7"/>
      <c r="N611" s="7"/>
      <c r="O611" s="7"/>
      <c r="P611" s="7"/>
      <c r="Q611" s="7"/>
      <c r="R611" s="7"/>
      <c r="S611" s="7"/>
      <c r="T611" s="7"/>
      <c r="U611" s="7"/>
      <c r="V611" s="7"/>
      <c r="W611" s="7"/>
      <c r="X611" s="7"/>
      <c r="Y611" s="7"/>
      <c r="Z611" s="7"/>
      <c r="AA611" s="7"/>
    </row>
    <row r="612">
      <c r="A612" s="242"/>
      <c r="B612" s="242"/>
      <c r="C612" s="177"/>
      <c r="D612" s="177"/>
      <c r="E612" s="177"/>
      <c r="F612" s="177"/>
      <c r="G612" s="177"/>
      <c r="H612" s="148"/>
      <c r="I612" s="7"/>
      <c r="J612" s="7"/>
      <c r="K612" s="7"/>
      <c r="L612" s="7"/>
      <c r="M612" s="7"/>
      <c r="N612" s="7"/>
      <c r="O612" s="7"/>
      <c r="P612" s="7"/>
      <c r="Q612" s="7"/>
      <c r="R612" s="7"/>
      <c r="S612" s="7"/>
      <c r="T612" s="7"/>
      <c r="U612" s="7"/>
      <c r="V612" s="7"/>
      <c r="W612" s="7"/>
      <c r="X612" s="7"/>
      <c r="Y612" s="7"/>
      <c r="Z612" s="7"/>
      <c r="AA612" s="7"/>
    </row>
    <row r="613">
      <c r="A613" s="242"/>
      <c r="B613" s="242"/>
      <c r="C613" s="177"/>
      <c r="D613" s="177"/>
      <c r="E613" s="177"/>
      <c r="F613" s="177"/>
      <c r="G613" s="177"/>
      <c r="H613" s="148"/>
      <c r="I613" s="7"/>
      <c r="J613" s="7"/>
      <c r="K613" s="7"/>
      <c r="L613" s="7"/>
      <c r="M613" s="7"/>
      <c r="N613" s="7"/>
      <c r="O613" s="7"/>
      <c r="P613" s="7"/>
      <c r="Q613" s="7"/>
      <c r="R613" s="7"/>
      <c r="S613" s="7"/>
      <c r="T613" s="7"/>
      <c r="U613" s="7"/>
      <c r="V613" s="7"/>
      <c r="W613" s="7"/>
      <c r="X613" s="7"/>
      <c r="Y613" s="7"/>
      <c r="Z613" s="7"/>
      <c r="AA613" s="7"/>
    </row>
    <row r="614">
      <c r="A614" s="242"/>
      <c r="B614" s="242"/>
      <c r="C614" s="177"/>
      <c r="D614" s="177"/>
      <c r="E614" s="177"/>
      <c r="F614" s="177"/>
      <c r="G614" s="177"/>
      <c r="H614" s="148"/>
      <c r="I614" s="7"/>
      <c r="J614" s="7"/>
      <c r="K614" s="7"/>
      <c r="L614" s="7"/>
      <c r="M614" s="7"/>
      <c r="N614" s="7"/>
      <c r="O614" s="7"/>
      <c r="P614" s="7"/>
      <c r="Q614" s="7"/>
      <c r="R614" s="7"/>
      <c r="S614" s="7"/>
      <c r="T614" s="7"/>
      <c r="U614" s="7"/>
      <c r="V614" s="7"/>
      <c r="W614" s="7"/>
      <c r="X614" s="7"/>
      <c r="Y614" s="7"/>
      <c r="Z614" s="7"/>
      <c r="AA614" s="7"/>
    </row>
    <row r="615">
      <c r="A615" s="242"/>
      <c r="B615" s="242"/>
      <c r="C615" s="177"/>
      <c r="D615" s="177"/>
      <c r="E615" s="177"/>
      <c r="F615" s="177"/>
      <c r="G615" s="177"/>
      <c r="H615" s="148"/>
      <c r="I615" s="7"/>
      <c r="J615" s="7"/>
      <c r="K615" s="7"/>
      <c r="L615" s="7"/>
      <c r="M615" s="7"/>
      <c r="N615" s="7"/>
      <c r="O615" s="7"/>
      <c r="P615" s="7"/>
      <c r="Q615" s="7"/>
      <c r="R615" s="7"/>
      <c r="S615" s="7"/>
      <c r="T615" s="7"/>
      <c r="U615" s="7"/>
      <c r="V615" s="7"/>
      <c r="W615" s="7"/>
      <c r="X615" s="7"/>
      <c r="Y615" s="7"/>
      <c r="Z615" s="7"/>
      <c r="AA615" s="7"/>
    </row>
    <row r="616">
      <c r="A616" s="242"/>
      <c r="B616" s="242"/>
      <c r="C616" s="177"/>
      <c r="D616" s="177"/>
      <c r="E616" s="177"/>
      <c r="F616" s="177"/>
      <c r="G616" s="177"/>
      <c r="H616" s="148"/>
      <c r="I616" s="7"/>
      <c r="J616" s="7"/>
      <c r="K616" s="7"/>
      <c r="L616" s="7"/>
      <c r="M616" s="7"/>
      <c r="N616" s="7"/>
      <c r="O616" s="7"/>
      <c r="P616" s="7"/>
      <c r="Q616" s="7"/>
      <c r="R616" s="7"/>
      <c r="S616" s="7"/>
      <c r="T616" s="7"/>
      <c r="U616" s="7"/>
      <c r="V616" s="7"/>
      <c r="W616" s="7"/>
      <c r="X616" s="7"/>
      <c r="Y616" s="7"/>
      <c r="Z616" s="7"/>
      <c r="AA616" s="7"/>
    </row>
    <row r="617">
      <c r="A617" s="242"/>
      <c r="B617" s="242"/>
      <c r="C617" s="177"/>
      <c r="D617" s="177"/>
      <c r="E617" s="177"/>
      <c r="F617" s="177"/>
      <c r="G617" s="177"/>
      <c r="H617" s="148"/>
      <c r="I617" s="7"/>
      <c r="J617" s="7"/>
      <c r="K617" s="7"/>
      <c r="L617" s="7"/>
      <c r="M617" s="7"/>
      <c r="N617" s="7"/>
      <c r="O617" s="7"/>
      <c r="P617" s="7"/>
      <c r="Q617" s="7"/>
      <c r="R617" s="7"/>
      <c r="S617" s="7"/>
      <c r="T617" s="7"/>
      <c r="U617" s="7"/>
      <c r="V617" s="7"/>
      <c r="W617" s="7"/>
      <c r="X617" s="7"/>
      <c r="Y617" s="7"/>
      <c r="Z617" s="7"/>
      <c r="AA617" s="7"/>
    </row>
    <row r="618">
      <c r="A618" s="242"/>
      <c r="B618" s="242"/>
      <c r="C618" s="177"/>
      <c r="D618" s="177"/>
      <c r="E618" s="177"/>
      <c r="F618" s="177"/>
      <c r="G618" s="177"/>
      <c r="H618" s="148"/>
      <c r="I618" s="7"/>
      <c r="J618" s="7"/>
      <c r="K618" s="7"/>
      <c r="L618" s="7"/>
      <c r="M618" s="7"/>
      <c r="N618" s="7"/>
      <c r="O618" s="7"/>
      <c r="P618" s="7"/>
      <c r="Q618" s="7"/>
      <c r="R618" s="7"/>
      <c r="S618" s="7"/>
      <c r="T618" s="7"/>
      <c r="U618" s="7"/>
      <c r="V618" s="7"/>
      <c r="W618" s="7"/>
      <c r="X618" s="7"/>
      <c r="Y618" s="7"/>
      <c r="Z618" s="7"/>
      <c r="AA618" s="7"/>
    </row>
    <row r="619">
      <c r="A619" s="242"/>
      <c r="B619" s="242"/>
      <c r="C619" s="177"/>
      <c r="D619" s="177"/>
      <c r="E619" s="177"/>
      <c r="F619" s="177"/>
      <c r="G619" s="177"/>
      <c r="H619" s="148"/>
      <c r="I619" s="7"/>
      <c r="J619" s="7"/>
      <c r="K619" s="7"/>
      <c r="L619" s="7"/>
      <c r="M619" s="7"/>
      <c r="N619" s="7"/>
      <c r="O619" s="7"/>
      <c r="P619" s="7"/>
      <c r="Q619" s="7"/>
      <c r="R619" s="7"/>
      <c r="S619" s="7"/>
      <c r="T619" s="7"/>
      <c r="U619" s="7"/>
      <c r="V619" s="7"/>
      <c r="W619" s="7"/>
      <c r="X619" s="7"/>
      <c r="Y619" s="7"/>
      <c r="Z619" s="7"/>
      <c r="AA619" s="7"/>
    </row>
    <row r="620">
      <c r="A620" s="242"/>
      <c r="B620" s="242"/>
      <c r="C620" s="177"/>
      <c r="D620" s="177"/>
      <c r="E620" s="177"/>
      <c r="F620" s="177"/>
      <c r="G620" s="177"/>
      <c r="H620" s="148"/>
      <c r="I620" s="7"/>
      <c r="J620" s="7"/>
      <c r="K620" s="7"/>
      <c r="L620" s="7"/>
      <c r="M620" s="7"/>
      <c r="N620" s="7"/>
      <c r="O620" s="7"/>
      <c r="P620" s="7"/>
      <c r="Q620" s="7"/>
      <c r="R620" s="7"/>
      <c r="S620" s="7"/>
      <c r="T620" s="7"/>
      <c r="U620" s="7"/>
      <c r="V620" s="7"/>
      <c r="W620" s="7"/>
      <c r="X620" s="7"/>
      <c r="Y620" s="7"/>
      <c r="Z620" s="7"/>
      <c r="AA620" s="7"/>
    </row>
    <row r="621">
      <c r="A621" s="242"/>
      <c r="B621" s="242"/>
      <c r="C621" s="177"/>
      <c r="D621" s="177"/>
      <c r="E621" s="177"/>
      <c r="F621" s="177"/>
      <c r="G621" s="177"/>
      <c r="H621" s="148"/>
      <c r="I621" s="7"/>
      <c r="J621" s="7"/>
      <c r="K621" s="7"/>
      <c r="L621" s="7"/>
      <c r="M621" s="7"/>
      <c r="N621" s="7"/>
      <c r="O621" s="7"/>
      <c r="P621" s="7"/>
      <c r="Q621" s="7"/>
      <c r="R621" s="7"/>
      <c r="S621" s="7"/>
      <c r="T621" s="7"/>
      <c r="U621" s="7"/>
      <c r="V621" s="7"/>
      <c r="W621" s="7"/>
      <c r="X621" s="7"/>
      <c r="Y621" s="7"/>
      <c r="Z621" s="7"/>
      <c r="AA621" s="7"/>
    </row>
    <row r="622">
      <c r="A622" s="242"/>
      <c r="B622" s="242"/>
      <c r="C622" s="177"/>
      <c r="D622" s="177"/>
      <c r="E622" s="177"/>
      <c r="F622" s="177"/>
      <c r="G622" s="177"/>
      <c r="H622" s="148"/>
      <c r="I622" s="7"/>
      <c r="J622" s="7"/>
      <c r="K622" s="7"/>
      <c r="L622" s="7"/>
      <c r="M622" s="7"/>
      <c r="N622" s="7"/>
      <c r="O622" s="7"/>
      <c r="P622" s="7"/>
      <c r="Q622" s="7"/>
      <c r="R622" s="7"/>
      <c r="S622" s="7"/>
      <c r="T622" s="7"/>
      <c r="U622" s="7"/>
      <c r="V622" s="7"/>
      <c r="W622" s="7"/>
      <c r="X622" s="7"/>
      <c r="Y622" s="7"/>
      <c r="Z622" s="7"/>
      <c r="AA622" s="7"/>
    </row>
    <row r="623">
      <c r="A623" s="242"/>
      <c r="B623" s="242"/>
      <c r="C623" s="177"/>
      <c r="D623" s="177"/>
      <c r="E623" s="177"/>
      <c r="F623" s="177"/>
      <c r="G623" s="177"/>
      <c r="H623" s="148"/>
      <c r="I623" s="7"/>
      <c r="J623" s="7"/>
      <c r="K623" s="7"/>
      <c r="L623" s="7"/>
      <c r="M623" s="7"/>
      <c r="N623" s="7"/>
      <c r="O623" s="7"/>
      <c r="P623" s="7"/>
      <c r="Q623" s="7"/>
      <c r="R623" s="7"/>
      <c r="S623" s="7"/>
      <c r="T623" s="7"/>
      <c r="U623" s="7"/>
      <c r="V623" s="7"/>
      <c r="W623" s="7"/>
      <c r="X623" s="7"/>
      <c r="Y623" s="7"/>
      <c r="Z623" s="7"/>
      <c r="AA623" s="7"/>
    </row>
    <row r="624">
      <c r="A624" s="242"/>
      <c r="B624" s="242"/>
      <c r="C624" s="177"/>
      <c r="D624" s="177"/>
      <c r="E624" s="177"/>
      <c r="F624" s="177"/>
      <c r="G624" s="177"/>
      <c r="H624" s="148"/>
      <c r="I624" s="7"/>
      <c r="J624" s="7"/>
      <c r="K624" s="7"/>
      <c r="L624" s="7"/>
      <c r="M624" s="7"/>
      <c r="N624" s="7"/>
      <c r="O624" s="7"/>
      <c r="P624" s="7"/>
      <c r="Q624" s="7"/>
      <c r="R624" s="7"/>
      <c r="S624" s="7"/>
      <c r="T624" s="7"/>
      <c r="U624" s="7"/>
      <c r="V624" s="7"/>
      <c r="W624" s="7"/>
      <c r="X624" s="7"/>
      <c r="Y624" s="7"/>
      <c r="Z624" s="7"/>
      <c r="AA624" s="7"/>
    </row>
    <row r="625">
      <c r="A625" s="242"/>
      <c r="B625" s="242"/>
      <c r="C625" s="177"/>
      <c r="D625" s="177"/>
      <c r="E625" s="177"/>
      <c r="F625" s="177"/>
      <c r="G625" s="177"/>
      <c r="H625" s="148"/>
      <c r="I625" s="7"/>
      <c r="J625" s="7"/>
      <c r="K625" s="7"/>
      <c r="L625" s="7"/>
      <c r="M625" s="7"/>
      <c r="N625" s="7"/>
      <c r="O625" s="7"/>
      <c r="P625" s="7"/>
      <c r="Q625" s="7"/>
      <c r="R625" s="7"/>
      <c r="S625" s="7"/>
      <c r="T625" s="7"/>
      <c r="U625" s="7"/>
      <c r="V625" s="7"/>
      <c r="W625" s="7"/>
      <c r="X625" s="7"/>
      <c r="Y625" s="7"/>
      <c r="Z625" s="7"/>
      <c r="AA625" s="7"/>
    </row>
    <row r="626">
      <c r="A626" s="242"/>
      <c r="B626" s="242"/>
      <c r="C626" s="177"/>
      <c r="D626" s="177"/>
      <c r="E626" s="177"/>
      <c r="F626" s="177"/>
      <c r="G626" s="177"/>
      <c r="H626" s="148"/>
      <c r="I626" s="7"/>
      <c r="J626" s="7"/>
      <c r="K626" s="7"/>
      <c r="L626" s="7"/>
      <c r="M626" s="7"/>
      <c r="N626" s="7"/>
      <c r="O626" s="7"/>
      <c r="P626" s="7"/>
      <c r="Q626" s="7"/>
      <c r="R626" s="7"/>
      <c r="S626" s="7"/>
      <c r="T626" s="7"/>
      <c r="U626" s="7"/>
      <c r="V626" s="7"/>
      <c r="W626" s="7"/>
      <c r="X626" s="7"/>
      <c r="Y626" s="7"/>
      <c r="Z626" s="7"/>
      <c r="AA626" s="7"/>
    </row>
    <row r="627">
      <c r="A627" s="242"/>
      <c r="B627" s="242"/>
      <c r="C627" s="177"/>
      <c r="D627" s="177"/>
      <c r="E627" s="177"/>
      <c r="F627" s="177"/>
      <c r="G627" s="177"/>
      <c r="H627" s="148"/>
      <c r="I627" s="7"/>
      <c r="J627" s="7"/>
      <c r="K627" s="7"/>
      <c r="L627" s="7"/>
      <c r="M627" s="7"/>
      <c r="N627" s="7"/>
      <c r="O627" s="7"/>
      <c r="P627" s="7"/>
      <c r="Q627" s="7"/>
      <c r="R627" s="7"/>
      <c r="S627" s="7"/>
      <c r="T627" s="7"/>
      <c r="U627" s="7"/>
      <c r="V627" s="7"/>
      <c r="W627" s="7"/>
      <c r="X627" s="7"/>
      <c r="Y627" s="7"/>
      <c r="Z627" s="7"/>
      <c r="AA627" s="7"/>
    </row>
    <row r="628">
      <c r="A628" s="242"/>
      <c r="B628" s="242"/>
      <c r="C628" s="177"/>
      <c r="D628" s="177"/>
      <c r="E628" s="177"/>
      <c r="F628" s="177"/>
      <c r="G628" s="177"/>
      <c r="H628" s="148"/>
      <c r="I628" s="7"/>
      <c r="J628" s="7"/>
      <c r="K628" s="7"/>
      <c r="L628" s="7"/>
      <c r="M628" s="7"/>
      <c r="N628" s="7"/>
      <c r="O628" s="7"/>
      <c r="P628" s="7"/>
      <c r="Q628" s="7"/>
      <c r="R628" s="7"/>
      <c r="S628" s="7"/>
      <c r="T628" s="7"/>
      <c r="U628" s="7"/>
      <c r="V628" s="7"/>
      <c r="W628" s="7"/>
      <c r="X628" s="7"/>
      <c r="Y628" s="7"/>
      <c r="Z628" s="7"/>
      <c r="AA628" s="7"/>
    </row>
    <row r="629">
      <c r="A629" s="242"/>
      <c r="B629" s="242"/>
      <c r="C629" s="177"/>
      <c r="D629" s="177"/>
      <c r="E629" s="177"/>
      <c r="F629" s="177"/>
      <c r="G629" s="177"/>
      <c r="H629" s="148"/>
      <c r="I629" s="7"/>
      <c r="J629" s="7"/>
      <c r="K629" s="7"/>
      <c r="L629" s="7"/>
      <c r="M629" s="7"/>
      <c r="N629" s="7"/>
      <c r="O629" s="7"/>
      <c r="P629" s="7"/>
      <c r="Q629" s="7"/>
      <c r="R629" s="7"/>
      <c r="S629" s="7"/>
      <c r="T629" s="7"/>
      <c r="U629" s="7"/>
      <c r="V629" s="7"/>
      <c r="W629" s="7"/>
      <c r="X629" s="7"/>
      <c r="Y629" s="7"/>
      <c r="Z629" s="7"/>
      <c r="AA629" s="7"/>
    </row>
    <row r="630">
      <c r="A630" s="242"/>
      <c r="B630" s="242"/>
      <c r="C630" s="177"/>
      <c r="D630" s="177"/>
      <c r="E630" s="177"/>
      <c r="F630" s="177"/>
      <c r="G630" s="177"/>
      <c r="H630" s="148"/>
      <c r="I630" s="7"/>
      <c r="J630" s="7"/>
      <c r="K630" s="7"/>
      <c r="L630" s="7"/>
      <c r="M630" s="7"/>
      <c r="N630" s="7"/>
      <c r="O630" s="7"/>
      <c r="P630" s="7"/>
      <c r="Q630" s="7"/>
      <c r="R630" s="7"/>
      <c r="S630" s="7"/>
      <c r="T630" s="7"/>
      <c r="U630" s="7"/>
      <c r="V630" s="7"/>
      <c r="W630" s="7"/>
      <c r="X630" s="7"/>
      <c r="Y630" s="7"/>
      <c r="Z630" s="7"/>
      <c r="AA630" s="7"/>
    </row>
    <row r="631">
      <c r="A631" s="242"/>
      <c r="B631" s="242"/>
      <c r="C631" s="177"/>
      <c r="D631" s="177"/>
      <c r="E631" s="177"/>
      <c r="F631" s="177"/>
      <c r="G631" s="177"/>
      <c r="H631" s="148"/>
      <c r="I631" s="7"/>
      <c r="J631" s="7"/>
      <c r="K631" s="7"/>
      <c r="L631" s="7"/>
      <c r="M631" s="7"/>
      <c r="N631" s="7"/>
      <c r="O631" s="7"/>
      <c r="P631" s="7"/>
      <c r="Q631" s="7"/>
      <c r="R631" s="7"/>
      <c r="S631" s="7"/>
      <c r="T631" s="7"/>
      <c r="U631" s="7"/>
      <c r="V631" s="7"/>
      <c r="W631" s="7"/>
      <c r="X631" s="7"/>
      <c r="Y631" s="7"/>
      <c r="Z631" s="7"/>
      <c r="AA631" s="7"/>
    </row>
    <row r="632">
      <c r="A632" s="242"/>
      <c r="B632" s="242"/>
      <c r="C632" s="177"/>
      <c r="D632" s="177"/>
      <c r="E632" s="177"/>
      <c r="F632" s="177"/>
      <c r="G632" s="177"/>
      <c r="H632" s="148"/>
      <c r="I632" s="7"/>
      <c r="J632" s="7"/>
      <c r="K632" s="7"/>
      <c r="L632" s="7"/>
      <c r="M632" s="7"/>
      <c r="N632" s="7"/>
      <c r="O632" s="7"/>
      <c r="P632" s="7"/>
      <c r="Q632" s="7"/>
      <c r="R632" s="7"/>
      <c r="S632" s="7"/>
      <c r="T632" s="7"/>
      <c r="U632" s="7"/>
      <c r="V632" s="7"/>
      <c r="W632" s="7"/>
      <c r="X632" s="7"/>
      <c r="Y632" s="7"/>
      <c r="Z632" s="7"/>
      <c r="AA632" s="7"/>
    </row>
    <row r="633">
      <c r="A633" s="242"/>
      <c r="B633" s="242"/>
      <c r="C633" s="177"/>
      <c r="D633" s="177"/>
      <c r="E633" s="177"/>
      <c r="F633" s="177"/>
      <c r="G633" s="177"/>
      <c r="H633" s="148"/>
      <c r="I633" s="7"/>
      <c r="J633" s="7"/>
      <c r="K633" s="7"/>
      <c r="L633" s="7"/>
      <c r="M633" s="7"/>
      <c r="N633" s="7"/>
      <c r="O633" s="7"/>
      <c r="P633" s="7"/>
      <c r="Q633" s="7"/>
      <c r="R633" s="7"/>
      <c r="S633" s="7"/>
      <c r="T633" s="7"/>
      <c r="U633" s="7"/>
      <c r="V633" s="7"/>
      <c r="W633" s="7"/>
      <c r="X633" s="7"/>
      <c r="Y633" s="7"/>
      <c r="Z633" s="7"/>
      <c r="AA633" s="7"/>
    </row>
    <row r="634">
      <c r="A634" s="242"/>
      <c r="B634" s="242"/>
      <c r="C634" s="177"/>
      <c r="D634" s="177"/>
      <c r="E634" s="177"/>
      <c r="F634" s="177"/>
      <c r="G634" s="177"/>
      <c r="H634" s="148"/>
      <c r="I634" s="7"/>
      <c r="J634" s="7"/>
      <c r="K634" s="7"/>
      <c r="L634" s="7"/>
      <c r="M634" s="7"/>
      <c r="N634" s="7"/>
      <c r="O634" s="7"/>
      <c r="P634" s="7"/>
      <c r="Q634" s="7"/>
      <c r="R634" s="7"/>
      <c r="S634" s="7"/>
      <c r="T634" s="7"/>
      <c r="U634" s="7"/>
      <c r="V634" s="7"/>
      <c r="W634" s="7"/>
      <c r="X634" s="7"/>
      <c r="Y634" s="7"/>
      <c r="Z634" s="7"/>
      <c r="AA634" s="7"/>
    </row>
    <row r="635">
      <c r="A635" s="242"/>
      <c r="B635" s="242"/>
      <c r="C635" s="177"/>
      <c r="D635" s="177"/>
      <c r="E635" s="177"/>
      <c r="F635" s="177"/>
      <c r="G635" s="177"/>
      <c r="H635" s="148"/>
      <c r="I635" s="7"/>
      <c r="J635" s="7"/>
      <c r="K635" s="7"/>
      <c r="L635" s="7"/>
      <c r="M635" s="7"/>
      <c r="N635" s="7"/>
      <c r="O635" s="7"/>
      <c r="P635" s="7"/>
      <c r="Q635" s="7"/>
      <c r="R635" s="7"/>
      <c r="S635" s="7"/>
      <c r="T635" s="7"/>
      <c r="U635" s="7"/>
      <c r="V635" s="7"/>
      <c r="W635" s="7"/>
      <c r="X635" s="7"/>
      <c r="Y635" s="7"/>
      <c r="Z635" s="7"/>
      <c r="AA635" s="7"/>
    </row>
    <row r="636">
      <c r="A636" s="242"/>
      <c r="B636" s="242"/>
      <c r="C636" s="177"/>
      <c r="D636" s="177"/>
      <c r="E636" s="177"/>
      <c r="F636" s="177"/>
      <c r="G636" s="177"/>
      <c r="H636" s="148"/>
      <c r="I636" s="7"/>
      <c r="J636" s="7"/>
      <c r="K636" s="7"/>
      <c r="L636" s="7"/>
      <c r="M636" s="7"/>
      <c r="N636" s="7"/>
      <c r="O636" s="7"/>
      <c r="P636" s="7"/>
      <c r="Q636" s="7"/>
      <c r="R636" s="7"/>
      <c r="S636" s="7"/>
      <c r="T636" s="7"/>
      <c r="U636" s="7"/>
      <c r="V636" s="7"/>
      <c r="W636" s="7"/>
      <c r="X636" s="7"/>
      <c r="Y636" s="7"/>
      <c r="Z636" s="7"/>
      <c r="AA636" s="7"/>
    </row>
    <row r="637">
      <c r="A637" s="242"/>
      <c r="B637" s="242"/>
      <c r="C637" s="177"/>
      <c r="D637" s="177"/>
      <c r="E637" s="177"/>
      <c r="F637" s="177"/>
      <c r="G637" s="177"/>
      <c r="H637" s="148"/>
      <c r="I637" s="7"/>
      <c r="J637" s="7"/>
      <c r="K637" s="7"/>
      <c r="L637" s="7"/>
      <c r="M637" s="7"/>
      <c r="N637" s="7"/>
      <c r="O637" s="7"/>
      <c r="P637" s="7"/>
      <c r="Q637" s="7"/>
      <c r="R637" s="7"/>
      <c r="S637" s="7"/>
      <c r="T637" s="7"/>
      <c r="U637" s="7"/>
      <c r="V637" s="7"/>
      <c r="W637" s="7"/>
      <c r="X637" s="7"/>
      <c r="Y637" s="7"/>
      <c r="Z637" s="7"/>
      <c r="AA637" s="7"/>
    </row>
    <row r="638">
      <c r="A638" s="242"/>
      <c r="B638" s="242"/>
      <c r="C638" s="177"/>
      <c r="D638" s="177"/>
      <c r="E638" s="177"/>
      <c r="F638" s="177"/>
      <c r="G638" s="177"/>
      <c r="H638" s="148"/>
      <c r="I638" s="7"/>
      <c r="J638" s="7"/>
      <c r="K638" s="7"/>
      <c r="L638" s="7"/>
      <c r="M638" s="7"/>
      <c r="N638" s="7"/>
      <c r="O638" s="7"/>
      <c r="P638" s="7"/>
      <c r="Q638" s="7"/>
      <c r="R638" s="7"/>
      <c r="S638" s="7"/>
      <c r="T638" s="7"/>
      <c r="U638" s="7"/>
      <c r="V638" s="7"/>
      <c r="W638" s="7"/>
      <c r="X638" s="7"/>
      <c r="Y638" s="7"/>
      <c r="Z638" s="7"/>
      <c r="AA638" s="7"/>
    </row>
    <row r="639">
      <c r="A639" s="242"/>
      <c r="B639" s="242"/>
      <c r="C639" s="177"/>
      <c r="D639" s="177"/>
      <c r="E639" s="177"/>
      <c r="F639" s="177"/>
      <c r="G639" s="177"/>
      <c r="H639" s="148"/>
      <c r="I639" s="7"/>
      <c r="J639" s="7"/>
      <c r="K639" s="7"/>
      <c r="L639" s="7"/>
      <c r="M639" s="7"/>
      <c r="N639" s="7"/>
      <c r="O639" s="7"/>
      <c r="P639" s="7"/>
      <c r="Q639" s="7"/>
      <c r="R639" s="7"/>
      <c r="S639" s="7"/>
      <c r="T639" s="7"/>
      <c r="U639" s="7"/>
      <c r="V639" s="7"/>
      <c r="W639" s="7"/>
      <c r="X639" s="7"/>
      <c r="Y639" s="7"/>
      <c r="Z639" s="7"/>
      <c r="AA639" s="7"/>
    </row>
    <row r="640">
      <c r="A640" s="242"/>
      <c r="B640" s="242"/>
      <c r="C640" s="177"/>
      <c r="D640" s="177"/>
      <c r="E640" s="177"/>
      <c r="F640" s="177"/>
      <c r="G640" s="177"/>
      <c r="H640" s="148"/>
      <c r="I640" s="7"/>
      <c r="J640" s="7"/>
      <c r="K640" s="7"/>
      <c r="L640" s="7"/>
      <c r="M640" s="7"/>
      <c r="N640" s="7"/>
      <c r="O640" s="7"/>
      <c r="P640" s="7"/>
      <c r="Q640" s="7"/>
      <c r="R640" s="7"/>
      <c r="S640" s="7"/>
      <c r="T640" s="7"/>
      <c r="U640" s="7"/>
      <c r="V640" s="7"/>
      <c r="W640" s="7"/>
      <c r="X640" s="7"/>
      <c r="Y640" s="7"/>
      <c r="Z640" s="7"/>
      <c r="AA640" s="7"/>
    </row>
    <row r="641">
      <c r="A641" s="242"/>
      <c r="B641" s="242"/>
      <c r="C641" s="177"/>
      <c r="D641" s="177"/>
      <c r="E641" s="177"/>
      <c r="F641" s="177"/>
      <c r="G641" s="177"/>
      <c r="H641" s="148"/>
      <c r="I641" s="7"/>
      <c r="J641" s="7"/>
      <c r="K641" s="7"/>
      <c r="L641" s="7"/>
      <c r="M641" s="7"/>
      <c r="N641" s="7"/>
      <c r="O641" s="7"/>
      <c r="P641" s="7"/>
      <c r="Q641" s="7"/>
      <c r="R641" s="7"/>
      <c r="S641" s="7"/>
      <c r="T641" s="7"/>
      <c r="U641" s="7"/>
      <c r="V641" s="7"/>
      <c r="W641" s="7"/>
      <c r="X641" s="7"/>
      <c r="Y641" s="7"/>
      <c r="Z641" s="7"/>
      <c r="AA641" s="7"/>
    </row>
    <row r="642">
      <c r="A642" s="242"/>
      <c r="B642" s="242"/>
      <c r="C642" s="177"/>
      <c r="D642" s="177"/>
      <c r="E642" s="177"/>
      <c r="F642" s="177"/>
      <c r="G642" s="177"/>
      <c r="H642" s="148"/>
      <c r="I642" s="7"/>
      <c r="J642" s="7"/>
      <c r="K642" s="7"/>
      <c r="L642" s="7"/>
      <c r="M642" s="7"/>
      <c r="N642" s="7"/>
      <c r="O642" s="7"/>
      <c r="P642" s="7"/>
      <c r="Q642" s="7"/>
      <c r="R642" s="7"/>
      <c r="S642" s="7"/>
      <c r="T642" s="7"/>
      <c r="U642" s="7"/>
      <c r="V642" s="7"/>
      <c r="W642" s="7"/>
      <c r="X642" s="7"/>
      <c r="Y642" s="7"/>
      <c r="Z642" s="7"/>
      <c r="AA642" s="7"/>
    </row>
    <row r="643">
      <c r="A643" s="242"/>
      <c r="B643" s="242"/>
      <c r="C643" s="177"/>
      <c r="D643" s="177"/>
      <c r="E643" s="177"/>
      <c r="F643" s="177"/>
      <c r="G643" s="177"/>
      <c r="H643" s="148"/>
      <c r="I643" s="7"/>
      <c r="J643" s="7"/>
      <c r="K643" s="7"/>
      <c r="L643" s="7"/>
      <c r="M643" s="7"/>
      <c r="N643" s="7"/>
      <c r="O643" s="7"/>
      <c r="P643" s="7"/>
      <c r="Q643" s="7"/>
      <c r="R643" s="7"/>
      <c r="S643" s="7"/>
      <c r="T643" s="7"/>
      <c r="U643" s="7"/>
      <c r="V643" s="7"/>
      <c r="W643" s="7"/>
      <c r="X643" s="7"/>
      <c r="Y643" s="7"/>
      <c r="Z643" s="7"/>
      <c r="AA643" s="7"/>
    </row>
    <row r="644">
      <c r="A644" s="242"/>
      <c r="B644" s="242"/>
      <c r="C644" s="177"/>
      <c r="D644" s="177"/>
      <c r="E644" s="177"/>
      <c r="F644" s="177"/>
      <c r="G644" s="177"/>
      <c r="H644" s="148"/>
      <c r="I644" s="7"/>
      <c r="J644" s="7"/>
      <c r="K644" s="7"/>
      <c r="L644" s="7"/>
      <c r="M644" s="7"/>
      <c r="N644" s="7"/>
      <c r="O644" s="7"/>
      <c r="P644" s="7"/>
      <c r="Q644" s="7"/>
      <c r="R644" s="7"/>
      <c r="S644" s="7"/>
      <c r="T644" s="7"/>
      <c r="U644" s="7"/>
      <c r="V644" s="7"/>
      <c r="W644" s="7"/>
      <c r="X644" s="7"/>
      <c r="Y644" s="7"/>
      <c r="Z644" s="7"/>
      <c r="AA644" s="7"/>
    </row>
    <row r="645">
      <c r="A645" s="242"/>
      <c r="B645" s="242"/>
      <c r="C645" s="177"/>
      <c r="D645" s="177"/>
      <c r="E645" s="177"/>
      <c r="F645" s="177"/>
      <c r="G645" s="177"/>
      <c r="H645" s="148"/>
      <c r="I645" s="7"/>
      <c r="J645" s="7"/>
      <c r="K645" s="7"/>
      <c r="L645" s="7"/>
      <c r="M645" s="7"/>
      <c r="N645" s="7"/>
      <c r="O645" s="7"/>
      <c r="P645" s="7"/>
      <c r="Q645" s="7"/>
      <c r="R645" s="7"/>
      <c r="S645" s="7"/>
      <c r="T645" s="7"/>
      <c r="U645" s="7"/>
      <c r="V645" s="7"/>
      <c r="W645" s="7"/>
      <c r="X645" s="7"/>
      <c r="Y645" s="7"/>
      <c r="Z645" s="7"/>
      <c r="AA645" s="7"/>
    </row>
    <row r="646">
      <c r="A646" s="242"/>
      <c r="B646" s="242"/>
      <c r="C646" s="177"/>
      <c r="D646" s="177"/>
      <c r="E646" s="177"/>
      <c r="F646" s="177"/>
      <c r="G646" s="177"/>
      <c r="H646" s="148"/>
      <c r="I646" s="7"/>
      <c r="J646" s="7"/>
      <c r="K646" s="7"/>
      <c r="L646" s="7"/>
      <c r="M646" s="7"/>
      <c r="N646" s="7"/>
      <c r="O646" s="7"/>
      <c r="P646" s="7"/>
      <c r="Q646" s="7"/>
      <c r="R646" s="7"/>
      <c r="S646" s="7"/>
      <c r="T646" s="7"/>
      <c r="U646" s="7"/>
      <c r="V646" s="7"/>
      <c r="W646" s="7"/>
      <c r="X646" s="7"/>
      <c r="Y646" s="7"/>
      <c r="Z646" s="7"/>
      <c r="AA646" s="7"/>
    </row>
    <row r="647">
      <c r="A647" s="242"/>
      <c r="B647" s="242"/>
      <c r="C647" s="177"/>
      <c r="D647" s="177"/>
      <c r="E647" s="177"/>
      <c r="F647" s="177"/>
      <c r="G647" s="177"/>
      <c r="H647" s="148"/>
      <c r="I647" s="7"/>
      <c r="J647" s="7"/>
      <c r="K647" s="7"/>
      <c r="L647" s="7"/>
      <c r="M647" s="7"/>
      <c r="N647" s="7"/>
      <c r="O647" s="7"/>
      <c r="P647" s="7"/>
      <c r="Q647" s="7"/>
      <c r="R647" s="7"/>
      <c r="S647" s="7"/>
      <c r="T647" s="7"/>
      <c r="U647" s="7"/>
      <c r="V647" s="7"/>
      <c r="W647" s="7"/>
      <c r="X647" s="7"/>
      <c r="Y647" s="7"/>
      <c r="Z647" s="7"/>
      <c r="AA647" s="7"/>
    </row>
    <row r="648">
      <c r="A648" s="242"/>
      <c r="B648" s="242"/>
      <c r="C648" s="177"/>
      <c r="D648" s="177"/>
      <c r="E648" s="177"/>
      <c r="F648" s="177"/>
      <c r="G648" s="177"/>
      <c r="H648" s="148"/>
      <c r="I648" s="7"/>
      <c r="J648" s="7"/>
      <c r="K648" s="7"/>
      <c r="L648" s="7"/>
      <c r="M648" s="7"/>
      <c r="N648" s="7"/>
      <c r="O648" s="7"/>
      <c r="P648" s="7"/>
      <c r="Q648" s="7"/>
      <c r="R648" s="7"/>
      <c r="S648" s="7"/>
      <c r="T648" s="7"/>
      <c r="U648" s="7"/>
      <c r="V648" s="7"/>
      <c r="W648" s="7"/>
      <c r="X648" s="7"/>
      <c r="Y648" s="7"/>
      <c r="Z648" s="7"/>
      <c r="AA648" s="7"/>
    </row>
    <row r="649">
      <c r="A649" s="242"/>
      <c r="B649" s="242"/>
      <c r="C649" s="177"/>
      <c r="D649" s="177"/>
      <c r="E649" s="177"/>
      <c r="F649" s="177"/>
      <c r="G649" s="177"/>
      <c r="H649" s="148"/>
      <c r="I649" s="7"/>
      <c r="J649" s="7"/>
      <c r="K649" s="7"/>
      <c r="L649" s="7"/>
      <c r="M649" s="7"/>
      <c r="N649" s="7"/>
      <c r="O649" s="7"/>
      <c r="P649" s="7"/>
      <c r="Q649" s="7"/>
      <c r="R649" s="7"/>
      <c r="S649" s="7"/>
      <c r="T649" s="7"/>
      <c r="U649" s="7"/>
      <c r="V649" s="7"/>
      <c r="W649" s="7"/>
      <c r="X649" s="7"/>
      <c r="Y649" s="7"/>
      <c r="Z649" s="7"/>
      <c r="AA649" s="7"/>
    </row>
    <row r="650">
      <c r="A650" s="242"/>
      <c r="B650" s="242"/>
      <c r="C650" s="177"/>
      <c r="D650" s="177"/>
      <c r="E650" s="177"/>
      <c r="F650" s="177"/>
      <c r="G650" s="177"/>
      <c r="H650" s="148"/>
      <c r="I650" s="7"/>
      <c r="J650" s="7"/>
      <c r="K650" s="7"/>
      <c r="L650" s="7"/>
      <c r="M650" s="7"/>
      <c r="N650" s="7"/>
      <c r="O650" s="7"/>
      <c r="P650" s="7"/>
      <c r="Q650" s="7"/>
      <c r="R650" s="7"/>
      <c r="S650" s="7"/>
      <c r="T650" s="7"/>
      <c r="U650" s="7"/>
      <c r="V650" s="7"/>
      <c r="W650" s="7"/>
      <c r="X650" s="7"/>
      <c r="Y650" s="7"/>
      <c r="Z650" s="7"/>
      <c r="AA650" s="7"/>
    </row>
    <row r="651">
      <c r="A651" s="242"/>
      <c r="B651" s="242"/>
      <c r="C651" s="177"/>
      <c r="D651" s="177"/>
      <c r="E651" s="177"/>
      <c r="F651" s="177"/>
      <c r="G651" s="177"/>
      <c r="H651" s="148"/>
      <c r="I651" s="7"/>
      <c r="J651" s="7"/>
      <c r="K651" s="7"/>
      <c r="L651" s="7"/>
      <c r="M651" s="7"/>
      <c r="N651" s="7"/>
      <c r="O651" s="7"/>
      <c r="P651" s="7"/>
      <c r="Q651" s="7"/>
      <c r="R651" s="7"/>
      <c r="S651" s="7"/>
      <c r="T651" s="7"/>
      <c r="U651" s="7"/>
      <c r="V651" s="7"/>
      <c r="W651" s="7"/>
      <c r="X651" s="7"/>
      <c r="Y651" s="7"/>
      <c r="Z651" s="7"/>
      <c r="AA651" s="7"/>
    </row>
    <row r="652">
      <c r="A652" s="242"/>
      <c r="B652" s="242"/>
      <c r="C652" s="177"/>
      <c r="D652" s="177"/>
      <c r="E652" s="177"/>
      <c r="F652" s="177"/>
      <c r="G652" s="177"/>
      <c r="H652" s="148"/>
      <c r="I652" s="7"/>
      <c r="J652" s="7"/>
      <c r="K652" s="7"/>
      <c r="L652" s="7"/>
      <c r="M652" s="7"/>
      <c r="N652" s="7"/>
      <c r="O652" s="7"/>
      <c r="P652" s="7"/>
      <c r="Q652" s="7"/>
      <c r="R652" s="7"/>
      <c r="S652" s="7"/>
      <c r="T652" s="7"/>
      <c r="U652" s="7"/>
      <c r="V652" s="7"/>
      <c r="W652" s="7"/>
      <c r="X652" s="7"/>
      <c r="Y652" s="7"/>
      <c r="Z652" s="7"/>
      <c r="AA652" s="7"/>
    </row>
    <row r="653">
      <c r="A653" s="242"/>
      <c r="B653" s="242"/>
      <c r="C653" s="177"/>
      <c r="D653" s="177"/>
      <c r="E653" s="177"/>
      <c r="F653" s="177"/>
      <c r="G653" s="177"/>
      <c r="H653" s="148"/>
      <c r="I653" s="7"/>
      <c r="J653" s="7"/>
      <c r="K653" s="7"/>
      <c r="L653" s="7"/>
      <c r="M653" s="7"/>
      <c r="N653" s="7"/>
      <c r="O653" s="7"/>
      <c r="P653" s="7"/>
      <c r="Q653" s="7"/>
      <c r="R653" s="7"/>
      <c r="S653" s="7"/>
      <c r="T653" s="7"/>
      <c r="U653" s="7"/>
      <c r="V653" s="7"/>
      <c r="W653" s="7"/>
      <c r="X653" s="7"/>
      <c r="Y653" s="7"/>
      <c r="Z653" s="7"/>
      <c r="AA653" s="7"/>
    </row>
    <row r="654">
      <c r="A654" s="242"/>
      <c r="B654" s="242"/>
      <c r="C654" s="177"/>
      <c r="D654" s="177"/>
      <c r="E654" s="177"/>
      <c r="F654" s="177"/>
      <c r="G654" s="177"/>
      <c r="H654" s="148"/>
      <c r="I654" s="7"/>
      <c r="J654" s="7"/>
      <c r="K654" s="7"/>
      <c r="L654" s="7"/>
      <c r="M654" s="7"/>
      <c r="N654" s="7"/>
      <c r="O654" s="7"/>
      <c r="P654" s="7"/>
      <c r="Q654" s="7"/>
      <c r="R654" s="7"/>
      <c r="S654" s="7"/>
      <c r="T654" s="7"/>
      <c r="U654" s="7"/>
      <c r="V654" s="7"/>
      <c r="W654" s="7"/>
      <c r="X654" s="7"/>
      <c r="Y654" s="7"/>
      <c r="Z654" s="7"/>
      <c r="AA654" s="7"/>
    </row>
    <row r="655">
      <c r="A655" s="242"/>
      <c r="B655" s="242"/>
      <c r="C655" s="177"/>
      <c r="D655" s="177"/>
      <c r="E655" s="177"/>
      <c r="F655" s="177"/>
      <c r="G655" s="177"/>
      <c r="H655" s="148"/>
      <c r="I655" s="7"/>
      <c r="J655" s="7"/>
      <c r="K655" s="7"/>
      <c r="L655" s="7"/>
      <c r="M655" s="7"/>
      <c r="N655" s="7"/>
      <c r="O655" s="7"/>
      <c r="P655" s="7"/>
      <c r="Q655" s="7"/>
      <c r="R655" s="7"/>
      <c r="S655" s="7"/>
      <c r="T655" s="7"/>
      <c r="U655" s="7"/>
      <c r="V655" s="7"/>
      <c r="W655" s="7"/>
      <c r="X655" s="7"/>
      <c r="Y655" s="7"/>
      <c r="Z655" s="7"/>
      <c r="AA655" s="7"/>
    </row>
    <row r="656">
      <c r="A656" s="242"/>
      <c r="B656" s="242"/>
      <c r="C656" s="177"/>
      <c r="D656" s="177"/>
      <c r="E656" s="177"/>
      <c r="F656" s="177"/>
      <c r="G656" s="177"/>
      <c r="H656" s="148"/>
      <c r="I656" s="7"/>
      <c r="J656" s="7"/>
      <c r="K656" s="7"/>
      <c r="L656" s="7"/>
      <c r="M656" s="7"/>
      <c r="N656" s="7"/>
      <c r="O656" s="7"/>
      <c r="P656" s="7"/>
      <c r="Q656" s="7"/>
      <c r="R656" s="7"/>
      <c r="S656" s="7"/>
      <c r="T656" s="7"/>
      <c r="U656" s="7"/>
      <c r="V656" s="7"/>
      <c r="W656" s="7"/>
      <c r="X656" s="7"/>
      <c r="Y656" s="7"/>
      <c r="Z656" s="7"/>
      <c r="AA656" s="7"/>
    </row>
    <row r="657">
      <c r="A657" s="242"/>
      <c r="B657" s="242"/>
      <c r="C657" s="177"/>
      <c r="D657" s="177"/>
      <c r="E657" s="177"/>
      <c r="F657" s="177"/>
      <c r="G657" s="177"/>
      <c r="H657" s="148"/>
      <c r="I657" s="7"/>
      <c r="J657" s="7"/>
      <c r="K657" s="7"/>
      <c r="L657" s="7"/>
      <c r="M657" s="7"/>
      <c r="N657" s="7"/>
      <c r="O657" s="7"/>
      <c r="P657" s="7"/>
      <c r="Q657" s="7"/>
      <c r="R657" s="7"/>
      <c r="S657" s="7"/>
      <c r="T657" s="7"/>
      <c r="U657" s="7"/>
      <c r="V657" s="7"/>
      <c r="W657" s="7"/>
      <c r="X657" s="7"/>
      <c r="Y657" s="7"/>
      <c r="Z657" s="7"/>
      <c r="AA657" s="7"/>
    </row>
    <row r="658">
      <c r="A658" s="242"/>
      <c r="B658" s="242"/>
      <c r="C658" s="177"/>
      <c r="D658" s="177"/>
      <c r="E658" s="177"/>
      <c r="F658" s="177"/>
      <c r="G658" s="177"/>
      <c r="H658" s="148"/>
      <c r="I658" s="7"/>
      <c r="J658" s="7"/>
      <c r="K658" s="7"/>
      <c r="L658" s="7"/>
      <c r="M658" s="7"/>
      <c r="N658" s="7"/>
      <c r="O658" s="7"/>
      <c r="P658" s="7"/>
      <c r="Q658" s="7"/>
      <c r="R658" s="7"/>
      <c r="S658" s="7"/>
      <c r="T658" s="7"/>
      <c r="U658" s="7"/>
      <c r="V658" s="7"/>
      <c r="W658" s="7"/>
      <c r="X658" s="7"/>
      <c r="Y658" s="7"/>
      <c r="Z658" s="7"/>
      <c r="AA658" s="7"/>
    </row>
    <row r="659">
      <c r="A659" s="242"/>
      <c r="B659" s="242"/>
      <c r="C659" s="177"/>
      <c r="D659" s="177"/>
      <c r="E659" s="177"/>
      <c r="F659" s="177"/>
      <c r="G659" s="177"/>
      <c r="H659" s="148"/>
      <c r="I659" s="7"/>
      <c r="J659" s="7"/>
      <c r="K659" s="7"/>
      <c r="L659" s="7"/>
      <c r="M659" s="7"/>
      <c r="N659" s="7"/>
      <c r="O659" s="7"/>
      <c r="P659" s="7"/>
      <c r="Q659" s="7"/>
      <c r="R659" s="7"/>
      <c r="S659" s="7"/>
      <c r="T659" s="7"/>
      <c r="U659" s="7"/>
      <c r="V659" s="7"/>
      <c r="W659" s="7"/>
      <c r="X659" s="7"/>
      <c r="Y659" s="7"/>
      <c r="Z659" s="7"/>
      <c r="AA659" s="7"/>
    </row>
    <row r="660">
      <c r="A660" s="242"/>
      <c r="B660" s="242"/>
      <c r="C660" s="177"/>
      <c r="D660" s="177"/>
      <c r="E660" s="177"/>
      <c r="F660" s="177"/>
      <c r="G660" s="177"/>
      <c r="H660" s="148"/>
      <c r="I660" s="7"/>
      <c r="J660" s="7"/>
      <c r="K660" s="7"/>
      <c r="L660" s="7"/>
      <c r="M660" s="7"/>
      <c r="N660" s="7"/>
      <c r="O660" s="7"/>
      <c r="P660" s="7"/>
      <c r="Q660" s="7"/>
      <c r="R660" s="7"/>
      <c r="S660" s="7"/>
      <c r="T660" s="7"/>
      <c r="U660" s="7"/>
      <c r="V660" s="7"/>
      <c r="W660" s="7"/>
      <c r="X660" s="7"/>
      <c r="Y660" s="7"/>
      <c r="Z660" s="7"/>
      <c r="AA660" s="7"/>
    </row>
    <row r="661">
      <c r="A661" s="242"/>
      <c r="B661" s="242"/>
      <c r="C661" s="177"/>
      <c r="D661" s="177"/>
      <c r="E661" s="177"/>
      <c r="F661" s="177"/>
      <c r="G661" s="177"/>
      <c r="H661" s="148"/>
      <c r="I661" s="7"/>
      <c r="J661" s="7"/>
      <c r="K661" s="7"/>
      <c r="L661" s="7"/>
      <c r="M661" s="7"/>
      <c r="N661" s="7"/>
      <c r="O661" s="7"/>
      <c r="P661" s="7"/>
      <c r="Q661" s="7"/>
      <c r="R661" s="7"/>
      <c r="S661" s="7"/>
      <c r="T661" s="7"/>
      <c r="U661" s="7"/>
      <c r="V661" s="7"/>
      <c r="W661" s="7"/>
      <c r="X661" s="7"/>
      <c r="Y661" s="7"/>
      <c r="Z661" s="7"/>
      <c r="AA661" s="7"/>
    </row>
    <row r="662">
      <c r="A662" s="242"/>
      <c r="B662" s="242"/>
      <c r="C662" s="177"/>
      <c r="D662" s="177"/>
      <c r="E662" s="177"/>
      <c r="F662" s="177"/>
      <c r="G662" s="177"/>
      <c r="H662" s="148"/>
      <c r="I662" s="7"/>
      <c r="J662" s="7"/>
      <c r="K662" s="7"/>
      <c r="L662" s="7"/>
      <c r="M662" s="7"/>
      <c r="N662" s="7"/>
      <c r="O662" s="7"/>
      <c r="P662" s="7"/>
      <c r="Q662" s="7"/>
      <c r="R662" s="7"/>
      <c r="S662" s="7"/>
      <c r="T662" s="7"/>
      <c r="U662" s="7"/>
      <c r="V662" s="7"/>
      <c r="W662" s="7"/>
      <c r="X662" s="7"/>
      <c r="Y662" s="7"/>
      <c r="Z662" s="7"/>
      <c r="AA662" s="7"/>
    </row>
    <row r="663">
      <c r="A663" s="242"/>
      <c r="B663" s="242"/>
      <c r="C663" s="177"/>
      <c r="D663" s="177"/>
      <c r="E663" s="177"/>
      <c r="F663" s="177"/>
      <c r="G663" s="177"/>
      <c r="H663" s="148"/>
      <c r="I663" s="7"/>
      <c r="J663" s="7"/>
      <c r="K663" s="7"/>
      <c r="L663" s="7"/>
      <c r="M663" s="7"/>
      <c r="N663" s="7"/>
      <c r="O663" s="7"/>
      <c r="P663" s="7"/>
      <c r="Q663" s="7"/>
      <c r="R663" s="7"/>
      <c r="S663" s="7"/>
      <c r="T663" s="7"/>
      <c r="U663" s="7"/>
      <c r="V663" s="7"/>
      <c r="W663" s="7"/>
      <c r="X663" s="7"/>
      <c r="Y663" s="7"/>
      <c r="Z663" s="7"/>
      <c r="AA663" s="7"/>
    </row>
    <row r="664">
      <c r="A664" s="242"/>
      <c r="B664" s="242"/>
      <c r="C664" s="177"/>
      <c r="D664" s="177"/>
      <c r="E664" s="177"/>
      <c r="F664" s="177"/>
      <c r="G664" s="177"/>
      <c r="H664" s="148"/>
      <c r="I664" s="7"/>
      <c r="J664" s="7"/>
      <c r="K664" s="7"/>
      <c r="L664" s="7"/>
      <c r="M664" s="7"/>
      <c r="N664" s="7"/>
      <c r="O664" s="7"/>
      <c r="P664" s="7"/>
      <c r="Q664" s="7"/>
      <c r="R664" s="7"/>
      <c r="S664" s="7"/>
      <c r="T664" s="7"/>
      <c r="U664" s="7"/>
      <c r="V664" s="7"/>
      <c r="W664" s="7"/>
      <c r="X664" s="7"/>
      <c r="Y664" s="7"/>
      <c r="Z664" s="7"/>
      <c r="AA664" s="7"/>
    </row>
    <row r="665">
      <c r="A665" s="242"/>
      <c r="B665" s="242"/>
      <c r="C665" s="177"/>
      <c r="D665" s="177"/>
      <c r="E665" s="177"/>
      <c r="F665" s="177"/>
      <c r="G665" s="177"/>
      <c r="H665" s="148"/>
      <c r="I665" s="7"/>
      <c r="J665" s="7"/>
      <c r="K665" s="7"/>
      <c r="L665" s="7"/>
      <c r="M665" s="7"/>
      <c r="N665" s="7"/>
      <c r="O665" s="7"/>
      <c r="P665" s="7"/>
      <c r="Q665" s="7"/>
      <c r="R665" s="7"/>
      <c r="S665" s="7"/>
      <c r="T665" s="7"/>
      <c r="U665" s="7"/>
      <c r="V665" s="7"/>
      <c r="W665" s="7"/>
      <c r="X665" s="7"/>
      <c r="Y665" s="7"/>
      <c r="Z665" s="7"/>
      <c r="AA665" s="7"/>
    </row>
    <row r="666">
      <c r="A666" s="242"/>
      <c r="B666" s="242"/>
      <c r="C666" s="177"/>
      <c r="D666" s="177"/>
      <c r="E666" s="177"/>
      <c r="F666" s="177"/>
      <c r="G666" s="177"/>
      <c r="H666" s="148"/>
      <c r="I666" s="7"/>
      <c r="J666" s="7"/>
      <c r="K666" s="7"/>
      <c r="L666" s="7"/>
      <c r="M666" s="7"/>
      <c r="N666" s="7"/>
      <c r="O666" s="7"/>
      <c r="P666" s="7"/>
      <c r="Q666" s="7"/>
      <c r="R666" s="7"/>
      <c r="S666" s="7"/>
      <c r="T666" s="7"/>
      <c r="U666" s="7"/>
      <c r="V666" s="7"/>
      <c r="W666" s="7"/>
      <c r="X666" s="7"/>
      <c r="Y666" s="7"/>
      <c r="Z666" s="7"/>
      <c r="AA666" s="7"/>
    </row>
    <row r="667">
      <c r="A667" s="242"/>
      <c r="B667" s="242"/>
      <c r="C667" s="177"/>
      <c r="D667" s="177"/>
      <c r="E667" s="177"/>
      <c r="F667" s="177"/>
      <c r="G667" s="177"/>
      <c r="H667" s="148"/>
      <c r="I667" s="7"/>
      <c r="J667" s="7"/>
      <c r="K667" s="7"/>
      <c r="L667" s="7"/>
      <c r="M667" s="7"/>
      <c r="N667" s="7"/>
      <c r="O667" s="7"/>
      <c r="P667" s="7"/>
      <c r="Q667" s="7"/>
      <c r="R667" s="7"/>
      <c r="S667" s="7"/>
      <c r="T667" s="7"/>
      <c r="U667" s="7"/>
      <c r="V667" s="7"/>
      <c r="W667" s="7"/>
      <c r="X667" s="7"/>
      <c r="Y667" s="7"/>
      <c r="Z667" s="7"/>
      <c r="AA667" s="7"/>
    </row>
    <row r="668">
      <c r="A668" s="242"/>
      <c r="B668" s="242"/>
      <c r="C668" s="177"/>
      <c r="D668" s="177"/>
      <c r="E668" s="177"/>
      <c r="F668" s="177"/>
      <c r="G668" s="177"/>
      <c r="H668" s="148"/>
      <c r="I668" s="7"/>
      <c r="J668" s="7"/>
      <c r="K668" s="7"/>
      <c r="L668" s="7"/>
      <c r="M668" s="7"/>
      <c r="N668" s="7"/>
      <c r="O668" s="7"/>
      <c r="P668" s="7"/>
      <c r="Q668" s="7"/>
      <c r="R668" s="7"/>
      <c r="S668" s="7"/>
      <c r="T668" s="7"/>
      <c r="U668" s="7"/>
      <c r="V668" s="7"/>
      <c r="W668" s="7"/>
      <c r="X668" s="7"/>
      <c r="Y668" s="7"/>
      <c r="Z668" s="7"/>
      <c r="AA668" s="7"/>
    </row>
    <row r="669">
      <c r="A669" s="242"/>
      <c r="B669" s="242"/>
      <c r="C669" s="177"/>
      <c r="D669" s="177"/>
      <c r="E669" s="177"/>
      <c r="F669" s="177"/>
      <c r="G669" s="177"/>
      <c r="H669" s="148"/>
      <c r="I669" s="7"/>
      <c r="J669" s="7"/>
      <c r="K669" s="7"/>
      <c r="L669" s="7"/>
      <c r="M669" s="7"/>
      <c r="N669" s="7"/>
      <c r="O669" s="7"/>
      <c r="P669" s="7"/>
      <c r="Q669" s="7"/>
      <c r="R669" s="7"/>
      <c r="S669" s="7"/>
      <c r="T669" s="7"/>
      <c r="U669" s="7"/>
      <c r="V669" s="7"/>
      <c r="W669" s="7"/>
      <c r="X669" s="7"/>
      <c r="Y669" s="7"/>
      <c r="Z669" s="7"/>
      <c r="AA669" s="7"/>
    </row>
    <row r="670">
      <c r="A670" s="242"/>
      <c r="B670" s="242"/>
      <c r="C670" s="177"/>
      <c r="D670" s="177"/>
      <c r="E670" s="177"/>
      <c r="F670" s="177"/>
      <c r="G670" s="177"/>
      <c r="H670" s="148"/>
      <c r="I670" s="7"/>
      <c r="J670" s="7"/>
      <c r="K670" s="7"/>
      <c r="L670" s="7"/>
      <c r="M670" s="7"/>
      <c r="N670" s="7"/>
      <c r="O670" s="7"/>
      <c r="P670" s="7"/>
      <c r="Q670" s="7"/>
      <c r="R670" s="7"/>
      <c r="S670" s="7"/>
      <c r="T670" s="7"/>
      <c r="U670" s="7"/>
      <c r="V670" s="7"/>
      <c r="W670" s="7"/>
      <c r="X670" s="7"/>
      <c r="Y670" s="7"/>
      <c r="Z670" s="7"/>
      <c r="AA670" s="7"/>
    </row>
    <row r="671">
      <c r="A671" s="242"/>
      <c r="B671" s="242"/>
      <c r="C671" s="177"/>
      <c r="D671" s="177"/>
      <c r="E671" s="177"/>
      <c r="F671" s="177"/>
      <c r="G671" s="177"/>
      <c r="H671" s="148"/>
      <c r="I671" s="7"/>
      <c r="J671" s="7"/>
      <c r="K671" s="7"/>
      <c r="L671" s="7"/>
      <c r="M671" s="7"/>
      <c r="N671" s="7"/>
      <c r="O671" s="7"/>
      <c r="P671" s="7"/>
      <c r="Q671" s="7"/>
      <c r="R671" s="7"/>
      <c r="S671" s="7"/>
      <c r="T671" s="7"/>
      <c r="U671" s="7"/>
      <c r="V671" s="7"/>
      <c r="W671" s="7"/>
      <c r="X671" s="7"/>
      <c r="Y671" s="7"/>
      <c r="Z671" s="7"/>
      <c r="AA671" s="7"/>
    </row>
    <row r="672">
      <c r="A672" s="242"/>
      <c r="B672" s="242"/>
      <c r="C672" s="177"/>
      <c r="D672" s="177"/>
      <c r="E672" s="177"/>
      <c r="F672" s="177"/>
      <c r="G672" s="177"/>
      <c r="H672" s="148"/>
      <c r="I672" s="7"/>
      <c r="J672" s="7"/>
      <c r="K672" s="7"/>
      <c r="L672" s="7"/>
      <c r="M672" s="7"/>
      <c r="N672" s="7"/>
      <c r="O672" s="7"/>
      <c r="P672" s="7"/>
      <c r="Q672" s="7"/>
      <c r="R672" s="7"/>
      <c r="S672" s="7"/>
      <c r="T672" s="7"/>
      <c r="U672" s="7"/>
      <c r="V672" s="7"/>
      <c r="W672" s="7"/>
      <c r="X672" s="7"/>
      <c r="Y672" s="7"/>
      <c r="Z672" s="7"/>
      <c r="AA672" s="7"/>
    </row>
    <row r="673">
      <c r="A673" s="242"/>
      <c r="B673" s="242"/>
      <c r="C673" s="177"/>
      <c r="D673" s="177"/>
      <c r="E673" s="177"/>
      <c r="F673" s="177"/>
      <c r="G673" s="177"/>
      <c r="H673" s="148"/>
      <c r="I673" s="7"/>
      <c r="J673" s="7"/>
      <c r="K673" s="7"/>
      <c r="L673" s="7"/>
      <c r="M673" s="7"/>
      <c r="N673" s="7"/>
      <c r="O673" s="7"/>
      <c r="P673" s="7"/>
      <c r="Q673" s="7"/>
      <c r="R673" s="7"/>
      <c r="S673" s="7"/>
      <c r="T673" s="7"/>
      <c r="U673" s="7"/>
      <c r="V673" s="7"/>
      <c r="W673" s="7"/>
      <c r="X673" s="7"/>
      <c r="Y673" s="7"/>
      <c r="Z673" s="7"/>
      <c r="AA673" s="7"/>
    </row>
    <row r="674">
      <c r="A674" s="242"/>
      <c r="B674" s="242"/>
      <c r="C674" s="177"/>
      <c r="D674" s="177"/>
      <c r="E674" s="177"/>
      <c r="F674" s="177"/>
      <c r="G674" s="177"/>
      <c r="H674" s="148"/>
      <c r="I674" s="7"/>
      <c r="J674" s="7"/>
      <c r="K674" s="7"/>
      <c r="L674" s="7"/>
      <c r="M674" s="7"/>
      <c r="N674" s="7"/>
      <c r="O674" s="7"/>
      <c r="P674" s="7"/>
      <c r="Q674" s="7"/>
      <c r="R674" s="7"/>
      <c r="S674" s="7"/>
      <c r="T674" s="7"/>
      <c r="U674" s="7"/>
      <c r="V674" s="7"/>
      <c r="W674" s="7"/>
      <c r="X674" s="7"/>
      <c r="Y674" s="7"/>
      <c r="Z674" s="7"/>
      <c r="AA674" s="7"/>
    </row>
    <row r="675">
      <c r="A675" s="242"/>
      <c r="B675" s="242"/>
      <c r="C675" s="177"/>
      <c r="D675" s="177"/>
      <c r="E675" s="177"/>
      <c r="F675" s="177"/>
      <c r="G675" s="177"/>
      <c r="H675" s="148"/>
      <c r="I675" s="7"/>
      <c r="J675" s="7"/>
      <c r="K675" s="7"/>
      <c r="L675" s="7"/>
      <c r="M675" s="7"/>
      <c r="N675" s="7"/>
      <c r="O675" s="7"/>
      <c r="P675" s="7"/>
      <c r="Q675" s="7"/>
      <c r="R675" s="7"/>
      <c r="S675" s="7"/>
      <c r="T675" s="7"/>
      <c r="U675" s="7"/>
      <c r="V675" s="7"/>
      <c r="W675" s="7"/>
      <c r="X675" s="7"/>
      <c r="Y675" s="7"/>
      <c r="Z675" s="7"/>
      <c r="AA675" s="7"/>
    </row>
    <row r="676">
      <c r="A676" s="242"/>
      <c r="B676" s="242"/>
      <c r="C676" s="177"/>
      <c r="D676" s="177"/>
      <c r="E676" s="177"/>
      <c r="F676" s="177"/>
      <c r="G676" s="177"/>
      <c r="H676" s="148"/>
      <c r="I676" s="7"/>
      <c r="J676" s="7"/>
      <c r="K676" s="7"/>
      <c r="L676" s="7"/>
      <c r="M676" s="7"/>
      <c r="N676" s="7"/>
      <c r="O676" s="7"/>
      <c r="P676" s="7"/>
      <c r="Q676" s="7"/>
      <c r="R676" s="7"/>
      <c r="S676" s="7"/>
      <c r="T676" s="7"/>
      <c r="U676" s="7"/>
      <c r="V676" s="7"/>
      <c r="W676" s="7"/>
      <c r="X676" s="7"/>
      <c r="Y676" s="7"/>
      <c r="Z676" s="7"/>
      <c r="AA676" s="7"/>
    </row>
    <row r="677">
      <c r="A677" s="242"/>
      <c r="B677" s="242"/>
      <c r="C677" s="177"/>
      <c r="D677" s="177"/>
      <c r="E677" s="177"/>
      <c r="F677" s="177"/>
      <c r="G677" s="177"/>
      <c r="H677" s="148"/>
      <c r="I677" s="7"/>
      <c r="J677" s="7"/>
      <c r="K677" s="7"/>
      <c r="L677" s="7"/>
      <c r="M677" s="7"/>
      <c r="N677" s="7"/>
      <c r="O677" s="7"/>
      <c r="P677" s="7"/>
      <c r="Q677" s="7"/>
      <c r="R677" s="7"/>
      <c r="S677" s="7"/>
      <c r="T677" s="7"/>
      <c r="U677" s="7"/>
      <c r="V677" s="7"/>
      <c r="W677" s="7"/>
      <c r="X677" s="7"/>
      <c r="Y677" s="7"/>
      <c r="Z677" s="7"/>
      <c r="AA677" s="7"/>
    </row>
    <row r="678">
      <c r="A678" s="242"/>
      <c r="B678" s="242"/>
      <c r="C678" s="177"/>
      <c r="D678" s="177"/>
      <c r="E678" s="177"/>
      <c r="F678" s="177"/>
      <c r="G678" s="177"/>
      <c r="H678" s="148"/>
      <c r="I678" s="7"/>
      <c r="J678" s="7"/>
      <c r="K678" s="7"/>
      <c r="L678" s="7"/>
      <c r="M678" s="7"/>
      <c r="N678" s="7"/>
      <c r="O678" s="7"/>
      <c r="P678" s="7"/>
      <c r="Q678" s="7"/>
      <c r="R678" s="7"/>
      <c r="S678" s="7"/>
      <c r="T678" s="7"/>
      <c r="U678" s="7"/>
      <c r="V678" s="7"/>
      <c r="W678" s="7"/>
      <c r="X678" s="7"/>
      <c r="Y678" s="7"/>
      <c r="Z678" s="7"/>
      <c r="AA678" s="7"/>
    </row>
    <row r="679">
      <c r="A679" s="242"/>
      <c r="B679" s="242"/>
      <c r="C679" s="177"/>
      <c r="D679" s="177"/>
      <c r="E679" s="177"/>
      <c r="F679" s="177"/>
      <c r="G679" s="177"/>
      <c r="H679" s="148"/>
      <c r="I679" s="7"/>
      <c r="J679" s="7"/>
      <c r="K679" s="7"/>
      <c r="L679" s="7"/>
      <c r="M679" s="7"/>
      <c r="N679" s="7"/>
      <c r="O679" s="7"/>
      <c r="P679" s="7"/>
      <c r="Q679" s="7"/>
      <c r="R679" s="7"/>
      <c r="S679" s="7"/>
      <c r="T679" s="7"/>
      <c r="U679" s="7"/>
      <c r="V679" s="7"/>
      <c r="W679" s="7"/>
      <c r="X679" s="7"/>
      <c r="Y679" s="7"/>
      <c r="Z679" s="7"/>
      <c r="AA679" s="7"/>
    </row>
    <row r="680">
      <c r="A680" s="242"/>
      <c r="B680" s="242"/>
      <c r="C680" s="177"/>
      <c r="D680" s="177"/>
      <c r="E680" s="177"/>
      <c r="F680" s="177"/>
      <c r="G680" s="177"/>
      <c r="H680" s="148"/>
      <c r="I680" s="7"/>
      <c r="J680" s="7"/>
      <c r="K680" s="7"/>
      <c r="L680" s="7"/>
      <c r="M680" s="7"/>
      <c r="N680" s="7"/>
      <c r="O680" s="7"/>
      <c r="P680" s="7"/>
      <c r="Q680" s="7"/>
      <c r="R680" s="7"/>
      <c r="S680" s="7"/>
      <c r="T680" s="7"/>
      <c r="U680" s="7"/>
      <c r="V680" s="7"/>
      <c r="W680" s="7"/>
      <c r="X680" s="7"/>
      <c r="Y680" s="7"/>
      <c r="Z680" s="7"/>
      <c r="AA680" s="7"/>
    </row>
    <row r="681">
      <c r="A681" s="242"/>
      <c r="B681" s="242"/>
      <c r="C681" s="177"/>
      <c r="D681" s="177"/>
      <c r="E681" s="177"/>
      <c r="F681" s="177"/>
      <c r="G681" s="177"/>
      <c r="H681" s="148"/>
      <c r="I681" s="7"/>
      <c r="J681" s="7"/>
      <c r="K681" s="7"/>
      <c r="L681" s="7"/>
      <c r="M681" s="7"/>
      <c r="N681" s="7"/>
      <c r="O681" s="7"/>
      <c r="P681" s="7"/>
      <c r="Q681" s="7"/>
      <c r="R681" s="7"/>
      <c r="S681" s="7"/>
      <c r="T681" s="7"/>
      <c r="U681" s="7"/>
      <c r="V681" s="7"/>
      <c r="W681" s="7"/>
      <c r="X681" s="7"/>
      <c r="Y681" s="7"/>
      <c r="Z681" s="7"/>
      <c r="AA681" s="7"/>
    </row>
    <row r="682">
      <c r="A682" s="242"/>
      <c r="B682" s="242"/>
      <c r="C682" s="177"/>
      <c r="D682" s="177"/>
      <c r="E682" s="177"/>
      <c r="F682" s="177"/>
      <c r="G682" s="177"/>
      <c r="H682" s="148"/>
      <c r="I682" s="7"/>
      <c r="J682" s="7"/>
      <c r="K682" s="7"/>
      <c r="L682" s="7"/>
      <c r="M682" s="7"/>
      <c r="N682" s="7"/>
      <c r="O682" s="7"/>
      <c r="P682" s="7"/>
      <c r="Q682" s="7"/>
      <c r="R682" s="7"/>
      <c r="S682" s="7"/>
      <c r="T682" s="7"/>
      <c r="U682" s="7"/>
      <c r="V682" s="7"/>
      <c r="W682" s="7"/>
      <c r="X682" s="7"/>
      <c r="Y682" s="7"/>
      <c r="Z682" s="7"/>
      <c r="AA682" s="7"/>
    </row>
    <row r="683">
      <c r="A683" s="242"/>
      <c r="B683" s="242"/>
      <c r="C683" s="177"/>
      <c r="D683" s="177"/>
      <c r="E683" s="177"/>
      <c r="F683" s="177"/>
      <c r="G683" s="177"/>
      <c r="H683" s="148"/>
      <c r="I683" s="7"/>
      <c r="J683" s="7"/>
      <c r="K683" s="7"/>
      <c r="L683" s="7"/>
      <c r="M683" s="7"/>
      <c r="N683" s="7"/>
      <c r="O683" s="7"/>
      <c r="P683" s="7"/>
      <c r="Q683" s="7"/>
      <c r="R683" s="7"/>
      <c r="S683" s="7"/>
      <c r="T683" s="7"/>
      <c r="U683" s="7"/>
      <c r="V683" s="7"/>
      <c r="W683" s="7"/>
      <c r="X683" s="7"/>
      <c r="Y683" s="7"/>
      <c r="Z683" s="7"/>
      <c r="AA683" s="7"/>
    </row>
    <row r="684">
      <c r="A684" s="242"/>
      <c r="B684" s="242"/>
      <c r="C684" s="177"/>
      <c r="D684" s="177"/>
      <c r="E684" s="177"/>
      <c r="F684" s="177"/>
      <c r="G684" s="177"/>
      <c r="H684" s="148"/>
      <c r="I684" s="7"/>
      <c r="J684" s="7"/>
      <c r="K684" s="7"/>
      <c r="L684" s="7"/>
      <c r="M684" s="7"/>
      <c r="N684" s="7"/>
      <c r="O684" s="7"/>
      <c r="P684" s="7"/>
      <c r="Q684" s="7"/>
      <c r="R684" s="7"/>
      <c r="S684" s="7"/>
      <c r="T684" s="7"/>
      <c r="U684" s="7"/>
      <c r="V684" s="7"/>
      <c r="W684" s="7"/>
      <c r="X684" s="7"/>
      <c r="Y684" s="7"/>
      <c r="Z684" s="7"/>
      <c r="AA684" s="7"/>
    </row>
    <row r="685">
      <c r="A685" s="242"/>
      <c r="B685" s="242"/>
      <c r="C685" s="177"/>
      <c r="D685" s="177"/>
      <c r="E685" s="177"/>
      <c r="F685" s="177"/>
      <c r="G685" s="177"/>
      <c r="H685" s="148"/>
      <c r="I685" s="7"/>
      <c r="J685" s="7"/>
      <c r="K685" s="7"/>
      <c r="L685" s="7"/>
      <c r="M685" s="7"/>
      <c r="N685" s="7"/>
      <c r="O685" s="7"/>
      <c r="P685" s="7"/>
      <c r="Q685" s="7"/>
      <c r="R685" s="7"/>
      <c r="S685" s="7"/>
      <c r="T685" s="7"/>
      <c r="U685" s="7"/>
      <c r="V685" s="7"/>
      <c r="W685" s="7"/>
      <c r="X685" s="7"/>
      <c r="Y685" s="7"/>
      <c r="Z685" s="7"/>
      <c r="AA685" s="7"/>
    </row>
    <row r="686">
      <c r="A686" s="242"/>
      <c r="B686" s="242"/>
      <c r="C686" s="177"/>
      <c r="D686" s="177"/>
      <c r="E686" s="177"/>
      <c r="F686" s="177"/>
      <c r="G686" s="177"/>
      <c r="H686" s="148"/>
      <c r="I686" s="7"/>
      <c r="J686" s="7"/>
      <c r="K686" s="7"/>
      <c r="L686" s="7"/>
      <c r="M686" s="7"/>
      <c r="N686" s="7"/>
      <c r="O686" s="7"/>
      <c r="P686" s="7"/>
      <c r="Q686" s="7"/>
      <c r="R686" s="7"/>
      <c r="S686" s="7"/>
      <c r="T686" s="7"/>
      <c r="U686" s="7"/>
      <c r="V686" s="7"/>
      <c r="W686" s="7"/>
      <c r="X686" s="7"/>
      <c r="Y686" s="7"/>
      <c r="Z686" s="7"/>
      <c r="AA686" s="7"/>
    </row>
    <row r="687">
      <c r="A687" s="242"/>
      <c r="B687" s="242"/>
      <c r="C687" s="177"/>
      <c r="D687" s="177"/>
      <c r="E687" s="177"/>
      <c r="F687" s="177"/>
      <c r="G687" s="177"/>
      <c r="H687" s="148"/>
      <c r="I687" s="7"/>
      <c r="J687" s="7"/>
      <c r="K687" s="7"/>
      <c r="L687" s="7"/>
      <c r="M687" s="7"/>
      <c r="N687" s="7"/>
      <c r="O687" s="7"/>
      <c r="P687" s="7"/>
      <c r="Q687" s="7"/>
      <c r="R687" s="7"/>
      <c r="S687" s="7"/>
      <c r="T687" s="7"/>
      <c r="U687" s="7"/>
      <c r="V687" s="7"/>
      <c r="W687" s="7"/>
      <c r="X687" s="7"/>
      <c r="Y687" s="7"/>
      <c r="Z687" s="7"/>
      <c r="AA687" s="7"/>
    </row>
    <row r="688">
      <c r="A688" s="242"/>
      <c r="B688" s="242"/>
      <c r="C688" s="177"/>
      <c r="D688" s="177"/>
      <c r="E688" s="177"/>
      <c r="F688" s="177"/>
      <c r="G688" s="177"/>
      <c r="H688" s="148"/>
      <c r="I688" s="7"/>
      <c r="J688" s="7"/>
      <c r="K688" s="7"/>
      <c r="L688" s="7"/>
      <c r="M688" s="7"/>
      <c r="N688" s="7"/>
      <c r="O688" s="7"/>
      <c r="P688" s="7"/>
      <c r="Q688" s="7"/>
      <c r="R688" s="7"/>
      <c r="S688" s="7"/>
      <c r="T688" s="7"/>
      <c r="U688" s="7"/>
      <c r="V688" s="7"/>
      <c r="W688" s="7"/>
      <c r="X688" s="7"/>
      <c r="Y688" s="7"/>
      <c r="Z688" s="7"/>
      <c r="AA688" s="7"/>
    </row>
    <row r="689">
      <c r="A689" s="242"/>
      <c r="B689" s="242"/>
      <c r="C689" s="177"/>
      <c r="D689" s="177"/>
      <c r="E689" s="177"/>
      <c r="F689" s="177"/>
      <c r="G689" s="177"/>
      <c r="H689" s="148"/>
      <c r="I689" s="7"/>
      <c r="J689" s="7"/>
      <c r="K689" s="7"/>
      <c r="L689" s="7"/>
      <c r="M689" s="7"/>
      <c r="N689" s="7"/>
      <c r="O689" s="7"/>
      <c r="P689" s="7"/>
      <c r="Q689" s="7"/>
      <c r="R689" s="7"/>
      <c r="S689" s="7"/>
      <c r="T689" s="7"/>
      <c r="U689" s="7"/>
      <c r="V689" s="7"/>
      <c r="W689" s="7"/>
      <c r="X689" s="7"/>
      <c r="Y689" s="7"/>
      <c r="Z689" s="7"/>
      <c r="AA689" s="7"/>
    </row>
    <row r="690">
      <c r="A690" s="242"/>
      <c r="B690" s="242"/>
      <c r="C690" s="177"/>
      <c r="D690" s="177"/>
      <c r="E690" s="177"/>
      <c r="F690" s="177"/>
      <c r="G690" s="177"/>
      <c r="H690" s="148"/>
      <c r="I690" s="7"/>
      <c r="J690" s="7"/>
      <c r="K690" s="7"/>
      <c r="L690" s="7"/>
      <c r="M690" s="7"/>
      <c r="N690" s="7"/>
      <c r="O690" s="7"/>
      <c r="P690" s="7"/>
      <c r="Q690" s="7"/>
      <c r="R690" s="7"/>
      <c r="S690" s="7"/>
      <c r="T690" s="7"/>
      <c r="U690" s="7"/>
      <c r="V690" s="7"/>
      <c r="W690" s="7"/>
      <c r="X690" s="7"/>
      <c r="Y690" s="7"/>
      <c r="Z690" s="7"/>
      <c r="AA690" s="7"/>
    </row>
    <row r="691">
      <c r="A691" s="242"/>
      <c r="B691" s="242"/>
      <c r="C691" s="177"/>
      <c r="D691" s="177"/>
      <c r="E691" s="177"/>
      <c r="F691" s="177"/>
      <c r="G691" s="177"/>
      <c r="H691" s="148"/>
      <c r="I691" s="7"/>
      <c r="J691" s="7"/>
      <c r="K691" s="7"/>
      <c r="L691" s="7"/>
      <c r="M691" s="7"/>
      <c r="N691" s="7"/>
      <c r="O691" s="7"/>
      <c r="P691" s="7"/>
      <c r="Q691" s="7"/>
      <c r="R691" s="7"/>
      <c r="S691" s="7"/>
      <c r="T691" s="7"/>
      <c r="U691" s="7"/>
      <c r="V691" s="7"/>
      <c r="W691" s="7"/>
      <c r="X691" s="7"/>
      <c r="Y691" s="7"/>
      <c r="Z691" s="7"/>
      <c r="AA691" s="7"/>
    </row>
    <row r="692">
      <c r="A692" s="242"/>
      <c r="B692" s="242"/>
      <c r="C692" s="177"/>
      <c r="D692" s="177"/>
      <c r="E692" s="177"/>
      <c r="F692" s="177"/>
      <c r="G692" s="177"/>
      <c r="H692" s="148"/>
      <c r="I692" s="7"/>
      <c r="J692" s="7"/>
      <c r="K692" s="7"/>
      <c r="L692" s="7"/>
      <c r="M692" s="7"/>
      <c r="N692" s="7"/>
      <c r="O692" s="7"/>
      <c r="P692" s="7"/>
      <c r="Q692" s="7"/>
      <c r="R692" s="7"/>
      <c r="S692" s="7"/>
      <c r="T692" s="7"/>
      <c r="U692" s="7"/>
      <c r="V692" s="7"/>
      <c r="W692" s="7"/>
      <c r="X692" s="7"/>
      <c r="Y692" s="7"/>
      <c r="Z692" s="7"/>
      <c r="AA692" s="7"/>
    </row>
    <row r="693">
      <c r="A693" s="242"/>
      <c r="B693" s="242"/>
      <c r="C693" s="177"/>
      <c r="D693" s="177"/>
      <c r="E693" s="177"/>
      <c r="F693" s="177"/>
      <c r="G693" s="177"/>
      <c r="H693" s="148"/>
      <c r="I693" s="7"/>
      <c r="J693" s="7"/>
      <c r="K693" s="7"/>
      <c r="L693" s="7"/>
      <c r="M693" s="7"/>
      <c r="N693" s="7"/>
      <c r="O693" s="7"/>
      <c r="P693" s="7"/>
      <c r="Q693" s="7"/>
      <c r="R693" s="7"/>
      <c r="S693" s="7"/>
      <c r="T693" s="7"/>
      <c r="U693" s="7"/>
      <c r="V693" s="7"/>
      <c r="W693" s="7"/>
      <c r="X693" s="7"/>
      <c r="Y693" s="7"/>
      <c r="Z693" s="7"/>
      <c r="AA693" s="7"/>
    </row>
    <row r="694">
      <c r="A694" s="242"/>
      <c r="B694" s="242"/>
      <c r="C694" s="177"/>
      <c r="D694" s="177"/>
      <c r="E694" s="177"/>
      <c r="F694" s="177"/>
      <c r="G694" s="177"/>
      <c r="H694" s="148"/>
      <c r="I694" s="7"/>
      <c r="J694" s="7"/>
      <c r="K694" s="7"/>
      <c r="L694" s="7"/>
      <c r="M694" s="7"/>
      <c r="N694" s="7"/>
      <c r="O694" s="7"/>
      <c r="P694" s="7"/>
      <c r="Q694" s="7"/>
      <c r="R694" s="7"/>
      <c r="S694" s="7"/>
      <c r="T694" s="7"/>
      <c r="U694" s="7"/>
      <c r="V694" s="7"/>
      <c r="W694" s="7"/>
      <c r="X694" s="7"/>
      <c r="Y694" s="7"/>
      <c r="Z694" s="7"/>
      <c r="AA694" s="7"/>
    </row>
    <row r="695">
      <c r="A695" s="242"/>
      <c r="B695" s="242"/>
      <c r="C695" s="177"/>
      <c r="D695" s="177"/>
      <c r="E695" s="177"/>
      <c r="F695" s="177"/>
      <c r="G695" s="177"/>
      <c r="H695" s="148"/>
      <c r="I695" s="7"/>
      <c r="J695" s="7"/>
      <c r="K695" s="7"/>
      <c r="L695" s="7"/>
      <c r="M695" s="7"/>
      <c r="N695" s="7"/>
      <c r="O695" s="7"/>
      <c r="P695" s="7"/>
      <c r="Q695" s="7"/>
      <c r="R695" s="7"/>
      <c r="S695" s="7"/>
      <c r="T695" s="7"/>
      <c r="U695" s="7"/>
      <c r="V695" s="7"/>
      <c r="W695" s="7"/>
      <c r="X695" s="7"/>
      <c r="Y695" s="7"/>
      <c r="Z695" s="7"/>
      <c r="AA695" s="7"/>
    </row>
    <row r="696">
      <c r="A696" s="242"/>
      <c r="B696" s="242"/>
      <c r="C696" s="177"/>
      <c r="D696" s="177"/>
      <c r="E696" s="177"/>
      <c r="F696" s="177"/>
      <c r="G696" s="177"/>
      <c r="H696" s="148"/>
      <c r="I696" s="7"/>
      <c r="J696" s="7"/>
      <c r="K696" s="7"/>
      <c r="L696" s="7"/>
      <c r="M696" s="7"/>
      <c r="N696" s="7"/>
      <c r="O696" s="7"/>
      <c r="P696" s="7"/>
      <c r="Q696" s="7"/>
      <c r="R696" s="7"/>
      <c r="S696" s="7"/>
      <c r="T696" s="7"/>
      <c r="U696" s="7"/>
      <c r="V696" s="7"/>
      <c r="W696" s="7"/>
      <c r="X696" s="7"/>
      <c r="Y696" s="7"/>
      <c r="Z696" s="7"/>
      <c r="AA696" s="7"/>
    </row>
    <row r="697">
      <c r="A697" s="242"/>
      <c r="B697" s="242"/>
      <c r="C697" s="177"/>
      <c r="D697" s="177"/>
      <c r="E697" s="177"/>
      <c r="F697" s="177"/>
      <c r="G697" s="177"/>
      <c r="H697" s="148"/>
      <c r="I697" s="7"/>
      <c r="J697" s="7"/>
      <c r="K697" s="7"/>
      <c r="L697" s="7"/>
      <c r="M697" s="7"/>
      <c r="N697" s="7"/>
      <c r="O697" s="7"/>
      <c r="P697" s="7"/>
      <c r="Q697" s="7"/>
      <c r="R697" s="7"/>
      <c r="S697" s="7"/>
      <c r="T697" s="7"/>
      <c r="U697" s="7"/>
      <c r="V697" s="7"/>
      <c r="W697" s="7"/>
      <c r="X697" s="7"/>
      <c r="Y697" s="7"/>
      <c r="Z697" s="7"/>
      <c r="AA697" s="7"/>
    </row>
    <row r="698">
      <c r="A698" s="242"/>
      <c r="B698" s="242"/>
      <c r="C698" s="177"/>
      <c r="D698" s="177"/>
      <c r="E698" s="177"/>
      <c r="F698" s="177"/>
      <c r="G698" s="177"/>
      <c r="H698" s="148"/>
      <c r="I698" s="7"/>
      <c r="J698" s="7"/>
      <c r="K698" s="7"/>
      <c r="L698" s="7"/>
      <c r="M698" s="7"/>
      <c r="N698" s="7"/>
      <c r="O698" s="7"/>
      <c r="P698" s="7"/>
      <c r="Q698" s="7"/>
      <c r="R698" s="7"/>
      <c r="S698" s="7"/>
      <c r="T698" s="7"/>
      <c r="U698" s="7"/>
      <c r="V698" s="7"/>
      <c r="W698" s="7"/>
      <c r="X698" s="7"/>
      <c r="Y698" s="7"/>
      <c r="Z698" s="7"/>
      <c r="AA698" s="7"/>
    </row>
    <row r="699">
      <c r="A699" s="242"/>
      <c r="B699" s="242"/>
      <c r="C699" s="177"/>
      <c r="D699" s="177"/>
      <c r="E699" s="177"/>
      <c r="F699" s="177"/>
      <c r="G699" s="177"/>
      <c r="H699" s="148"/>
      <c r="I699" s="7"/>
      <c r="J699" s="7"/>
      <c r="K699" s="7"/>
      <c r="L699" s="7"/>
      <c r="M699" s="7"/>
      <c r="N699" s="7"/>
      <c r="O699" s="7"/>
      <c r="P699" s="7"/>
      <c r="Q699" s="7"/>
      <c r="R699" s="7"/>
      <c r="S699" s="7"/>
      <c r="T699" s="7"/>
      <c r="U699" s="7"/>
      <c r="V699" s="7"/>
      <c r="W699" s="7"/>
      <c r="X699" s="7"/>
      <c r="Y699" s="7"/>
      <c r="Z699" s="7"/>
      <c r="AA699" s="7"/>
    </row>
    <row r="700">
      <c r="A700" s="242"/>
      <c r="B700" s="242"/>
      <c r="C700" s="177"/>
      <c r="D700" s="177"/>
      <c r="E700" s="177"/>
      <c r="F700" s="177"/>
      <c r="G700" s="177"/>
      <c r="H700" s="148"/>
      <c r="I700" s="7"/>
      <c r="J700" s="7"/>
      <c r="K700" s="7"/>
      <c r="L700" s="7"/>
      <c r="M700" s="7"/>
      <c r="N700" s="7"/>
      <c r="O700" s="7"/>
      <c r="P700" s="7"/>
      <c r="Q700" s="7"/>
      <c r="R700" s="7"/>
      <c r="S700" s="7"/>
      <c r="T700" s="7"/>
      <c r="U700" s="7"/>
      <c r="V700" s="7"/>
      <c r="W700" s="7"/>
      <c r="X700" s="7"/>
      <c r="Y700" s="7"/>
      <c r="Z700" s="7"/>
      <c r="AA700" s="7"/>
    </row>
    <row r="701">
      <c r="A701" s="242"/>
      <c r="B701" s="242"/>
      <c r="C701" s="177"/>
      <c r="D701" s="177"/>
      <c r="E701" s="177"/>
      <c r="F701" s="177"/>
      <c r="G701" s="177"/>
      <c r="H701" s="148"/>
      <c r="I701" s="7"/>
      <c r="J701" s="7"/>
      <c r="K701" s="7"/>
      <c r="L701" s="7"/>
      <c r="M701" s="7"/>
      <c r="N701" s="7"/>
      <c r="O701" s="7"/>
      <c r="P701" s="7"/>
      <c r="Q701" s="7"/>
      <c r="R701" s="7"/>
      <c r="S701" s="7"/>
      <c r="T701" s="7"/>
      <c r="U701" s="7"/>
      <c r="V701" s="7"/>
      <c r="W701" s="7"/>
      <c r="X701" s="7"/>
      <c r="Y701" s="7"/>
      <c r="Z701" s="7"/>
      <c r="AA701" s="7"/>
    </row>
    <row r="702">
      <c r="A702" s="242"/>
      <c r="B702" s="242"/>
      <c r="C702" s="177"/>
      <c r="D702" s="177"/>
      <c r="E702" s="177"/>
      <c r="F702" s="177"/>
      <c r="G702" s="177"/>
      <c r="H702" s="148"/>
      <c r="I702" s="7"/>
      <c r="J702" s="7"/>
      <c r="K702" s="7"/>
      <c r="L702" s="7"/>
      <c r="M702" s="7"/>
      <c r="N702" s="7"/>
      <c r="O702" s="7"/>
      <c r="P702" s="7"/>
      <c r="Q702" s="7"/>
      <c r="R702" s="7"/>
      <c r="S702" s="7"/>
      <c r="T702" s="7"/>
      <c r="U702" s="7"/>
      <c r="V702" s="7"/>
      <c r="W702" s="7"/>
      <c r="X702" s="7"/>
      <c r="Y702" s="7"/>
      <c r="Z702" s="7"/>
      <c r="AA702" s="7"/>
    </row>
    <row r="703">
      <c r="A703" s="242"/>
      <c r="B703" s="242"/>
      <c r="C703" s="177"/>
      <c r="D703" s="177"/>
      <c r="E703" s="177"/>
      <c r="F703" s="177"/>
      <c r="G703" s="177"/>
      <c r="H703" s="148"/>
      <c r="I703" s="7"/>
      <c r="J703" s="7"/>
      <c r="K703" s="7"/>
      <c r="L703" s="7"/>
      <c r="M703" s="7"/>
      <c r="N703" s="7"/>
      <c r="O703" s="7"/>
      <c r="P703" s="7"/>
      <c r="Q703" s="7"/>
      <c r="R703" s="7"/>
      <c r="S703" s="7"/>
      <c r="T703" s="7"/>
      <c r="U703" s="7"/>
      <c r="V703" s="7"/>
      <c r="W703" s="7"/>
      <c r="X703" s="7"/>
      <c r="Y703" s="7"/>
      <c r="Z703" s="7"/>
      <c r="AA703" s="7"/>
    </row>
    <row r="704">
      <c r="A704" s="242"/>
      <c r="B704" s="242"/>
      <c r="C704" s="177"/>
      <c r="D704" s="177"/>
      <c r="E704" s="177"/>
      <c r="F704" s="177"/>
      <c r="G704" s="177"/>
      <c r="H704" s="148"/>
      <c r="I704" s="7"/>
      <c r="J704" s="7"/>
      <c r="K704" s="7"/>
      <c r="L704" s="7"/>
      <c r="M704" s="7"/>
      <c r="N704" s="7"/>
      <c r="O704" s="7"/>
      <c r="P704" s="7"/>
      <c r="Q704" s="7"/>
      <c r="R704" s="7"/>
      <c r="S704" s="7"/>
      <c r="T704" s="7"/>
      <c r="U704" s="7"/>
      <c r="V704" s="7"/>
      <c r="W704" s="7"/>
      <c r="X704" s="7"/>
      <c r="Y704" s="7"/>
      <c r="Z704" s="7"/>
      <c r="AA704" s="7"/>
    </row>
    <row r="705">
      <c r="A705" s="242"/>
      <c r="B705" s="242"/>
      <c r="C705" s="177"/>
      <c r="D705" s="177"/>
      <c r="E705" s="177"/>
      <c r="F705" s="177"/>
      <c r="G705" s="177"/>
      <c r="H705" s="148"/>
      <c r="I705" s="7"/>
      <c r="J705" s="7"/>
      <c r="K705" s="7"/>
      <c r="L705" s="7"/>
      <c r="M705" s="7"/>
      <c r="N705" s="7"/>
      <c r="O705" s="7"/>
      <c r="P705" s="7"/>
      <c r="Q705" s="7"/>
      <c r="R705" s="7"/>
      <c r="S705" s="7"/>
      <c r="T705" s="7"/>
      <c r="U705" s="7"/>
      <c r="V705" s="7"/>
      <c r="W705" s="7"/>
      <c r="X705" s="7"/>
      <c r="Y705" s="7"/>
      <c r="Z705" s="7"/>
      <c r="AA705" s="7"/>
    </row>
    <row r="706">
      <c r="A706" s="242"/>
      <c r="B706" s="242"/>
      <c r="C706" s="177"/>
      <c r="D706" s="177"/>
      <c r="E706" s="177"/>
      <c r="F706" s="177"/>
      <c r="G706" s="177"/>
      <c r="H706" s="148"/>
      <c r="I706" s="7"/>
      <c r="J706" s="7"/>
      <c r="K706" s="7"/>
      <c r="L706" s="7"/>
      <c r="M706" s="7"/>
      <c r="N706" s="7"/>
      <c r="O706" s="7"/>
      <c r="P706" s="7"/>
      <c r="Q706" s="7"/>
      <c r="R706" s="7"/>
      <c r="S706" s="7"/>
      <c r="T706" s="7"/>
      <c r="U706" s="7"/>
      <c r="V706" s="7"/>
      <c r="W706" s="7"/>
      <c r="X706" s="7"/>
      <c r="Y706" s="7"/>
      <c r="Z706" s="7"/>
      <c r="AA706" s="7"/>
    </row>
    <row r="707">
      <c r="A707" s="242"/>
      <c r="B707" s="242"/>
      <c r="C707" s="177"/>
      <c r="D707" s="177"/>
      <c r="E707" s="177"/>
      <c r="F707" s="177"/>
      <c r="G707" s="177"/>
      <c r="H707" s="148"/>
      <c r="I707" s="7"/>
      <c r="J707" s="7"/>
      <c r="K707" s="7"/>
      <c r="L707" s="7"/>
      <c r="M707" s="7"/>
      <c r="N707" s="7"/>
      <c r="O707" s="7"/>
      <c r="P707" s="7"/>
      <c r="Q707" s="7"/>
      <c r="R707" s="7"/>
      <c r="S707" s="7"/>
      <c r="T707" s="7"/>
      <c r="U707" s="7"/>
      <c r="V707" s="7"/>
      <c r="W707" s="7"/>
      <c r="X707" s="7"/>
      <c r="Y707" s="7"/>
      <c r="Z707" s="7"/>
      <c r="AA707" s="7"/>
    </row>
    <row r="708">
      <c r="A708" s="242"/>
      <c r="B708" s="242"/>
      <c r="C708" s="177"/>
      <c r="D708" s="177"/>
      <c r="E708" s="177"/>
      <c r="F708" s="177"/>
      <c r="G708" s="177"/>
      <c r="H708" s="148"/>
      <c r="I708" s="7"/>
      <c r="J708" s="7"/>
      <c r="K708" s="7"/>
      <c r="L708" s="7"/>
      <c r="M708" s="7"/>
      <c r="N708" s="7"/>
      <c r="O708" s="7"/>
      <c r="P708" s="7"/>
      <c r="Q708" s="7"/>
      <c r="R708" s="7"/>
      <c r="S708" s="7"/>
      <c r="T708" s="7"/>
      <c r="U708" s="7"/>
      <c r="V708" s="7"/>
      <c r="W708" s="7"/>
      <c r="X708" s="7"/>
      <c r="Y708" s="7"/>
      <c r="Z708" s="7"/>
      <c r="AA708" s="7"/>
    </row>
    <row r="709">
      <c r="A709" s="242"/>
      <c r="B709" s="242"/>
      <c r="C709" s="177"/>
      <c r="D709" s="177"/>
      <c r="E709" s="177"/>
      <c r="F709" s="177"/>
      <c r="G709" s="177"/>
      <c r="H709" s="148"/>
      <c r="I709" s="7"/>
      <c r="J709" s="7"/>
      <c r="K709" s="7"/>
      <c r="L709" s="7"/>
      <c r="M709" s="7"/>
      <c r="N709" s="7"/>
      <c r="O709" s="7"/>
      <c r="P709" s="7"/>
      <c r="Q709" s="7"/>
      <c r="R709" s="7"/>
      <c r="S709" s="7"/>
      <c r="T709" s="7"/>
      <c r="U709" s="7"/>
      <c r="V709" s="7"/>
      <c r="W709" s="7"/>
      <c r="X709" s="7"/>
      <c r="Y709" s="7"/>
      <c r="Z709" s="7"/>
      <c r="AA709" s="7"/>
    </row>
    <row r="710">
      <c r="A710" s="242"/>
      <c r="B710" s="242"/>
      <c r="C710" s="177"/>
      <c r="D710" s="177"/>
      <c r="E710" s="177"/>
      <c r="F710" s="177"/>
      <c r="G710" s="177"/>
      <c r="H710" s="148"/>
      <c r="I710" s="7"/>
      <c r="J710" s="7"/>
      <c r="K710" s="7"/>
      <c r="L710" s="7"/>
      <c r="M710" s="7"/>
      <c r="N710" s="7"/>
      <c r="O710" s="7"/>
      <c r="P710" s="7"/>
      <c r="Q710" s="7"/>
      <c r="R710" s="7"/>
      <c r="S710" s="7"/>
      <c r="T710" s="7"/>
      <c r="U710" s="7"/>
      <c r="V710" s="7"/>
      <c r="W710" s="7"/>
      <c r="X710" s="7"/>
      <c r="Y710" s="7"/>
      <c r="Z710" s="7"/>
      <c r="AA710" s="7"/>
    </row>
    <row r="711">
      <c r="A711" s="242"/>
      <c r="B711" s="242"/>
      <c r="C711" s="177"/>
      <c r="D711" s="177"/>
      <c r="E711" s="177"/>
      <c r="F711" s="177"/>
      <c r="G711" s="177"/>
      <c r="H711" s="148"/>
      <c r="I711" s="7"/>
      <c r="J711" s="7"/>
      <c r="K711" s="7"/>
      <c r="L711" s="7"/>
      <c r="M711" s="7"/>
      <c r="N711" s="7"/>
      <c r="O711" s="7"/>
      <c r="P711" s="7"/>
      <c r="Q711" s="7"/>
      <c r="R711" s="7"/>
      <c r="S711" s="7"/>
      <c r="T711" s="7"/>
      <c r="U711" s="7"/>
      <c r="V711" s="7"/>
      <c r="W711" s="7"/>
      <c r="X711" s="7"/>
      <c r="Y711" s="7"/>
      <c r="Z711" s="7"/>
      <c r="AA711" s="7"/>
    </row>
    <row r="712">
      <c r="A712" s="242"/>
      <c r="B712" s="242"/>
      <c r="C712" s="177"/>
      <c r="D712" s="177"/>
      <c r="E712" s="177"/>
      <c r="F712" s="177"/>
      <c r="G712" s="177"/>
      <c r="H712" s="148"/>
      <c r="I712" s="7"/>
      <c r="J712" s="7"/>
      <c r="K712" s="7"/>
      <c r="L712" s="7"/>
      <c r="M712" s="7"/>
      <c r="N712" s="7"/>
      <c r="O712" s="7"/>
      <c r="P712" s="7"/>
      <c r="Q712" s="7"/>
      <c r="R712" s="7"/>
      <c r="S712" s="7"/>
      <c r="T712" s="7"/>
      <c r="U712" s="7"/>
      <c r="V712" s="7"/>
      <c r="W712" s="7"/>
      <c r="X712" s="7"/>
      <c r="Y712" s="7"/>
      <c r="Z712" s="7"/>
      <c r="AA712" s="7"/>
    </row>
    <row r="713">
      <c r="A713" s="242"/>
      <c r="B713" s="242"/>
      <c r="C713" s="177"/>
      <c r="D713" s="177"/>
      <c r="E713" s="177"/>
      <c r="F713" s="177"/>
      <c r="G713" s="177"/>
      <c r="H713" s="148"/>
      <c r="I713" s="7"/>
      <c r="J713" s="7"/>
      <c r="K713" s="7"/>
      <c r="L713" s="7"/>
      <c r="M713" s="7"/>
      <c r="N713" s="7"/>
      <c r="O713" s="7"/>
      <c r="P713" s="7"/>
      <c r="Q713" s="7"/>
      <c r="R713" s="7"/>
      <c r="S713" s="7"/>
      <c r="T713" s="7"/>
      <c r="U713" s="7"/>
      <c r="V713" s="7"/>
      <c r="W713" s="7"/>
      <c r="X713" s="7"/>
      <c r="Y713" s="7"/>
      <c r="Z713" s="7"/>
      <c r="AA713" s="7"/>
    </row>
    <row r="714">
      <c r="A714" s="242"/>
      <c r="B714" s="242"/>
      <c r="C714" s="177"/>
      <c r="D714" s="177"/>
      <c r="E714" s="177"/>
      <c r="F714" s="177"/>
      <c r="G714" s="177"/>
      <c r="H714" s="148"/>
      <c r="I714" s="7"/>
      <c r="J714" s="7"/>
      <c r="K714" s="7"/>
      <c r="L714" s="7"/>
      <c r="M714" s="7"/>
      <c r="N714" s="7"/>
      <c r="O714" s="7"/>
      <c r="P714" s="7"/>
      <c r="Q714" s="7"/>
      <c r="R714" s="7"/>
      <c r="S714" s="7"/>
      <c r="T714" s="7"/>
      <c r="U714" s="7"/>
      <c r="V714" s="7"/>
      <c r="W714" s="7"/>
      <c r="X714" s="7"/>
      <c r="Y714" s="7"/>
      <c r="Z714" s="7"/>
      <c r="AA714" s="7"/>
    </row>
    <row r="715">
      <c r="A715" s="242"/>
      <c r="B715" s="242"/>
      <c r="C715" s="177"/>
      <c r="D715" s="177"/>
      <c r="E715" s="177"/>
      <c r="F715" s="177"/>
      <c r="G715" s="177"/>
      <c r="H715" s="148"/>
      <c r="I715" s="7"/>
      <c r="J715" s="7"/>
      <c r="K715" s="7"/>
      <c r="L715" s="7"/>
      <c r="M715" s="7"/>
      <c r="N715" s="7"/>
      <c r="O715" s="7"/>
      <c r="P715" s="7"/>
      <c r="Q715" s="7"/>
      <c r="R715" s="7"/>
      <c r="S715" s="7"/>
      <c r="T715" s="7"/>
      <c r="U715" s="7"/>
      <c r="V715" s="7"/>
      <c r="W715" s="7"/>
      <c r="X715" s="7"/>
      <c r="Y715" s="7"/>
      <c r="Z715" s="7"/>
      <c r="AA715" s="7"/>
    </row>
    <row r="716">
      <c r="A716" s="242"/>
      <c r="B716" s="242"/>
      <c r="C716" s="177"/>
      <c r="D716" s="177"/>
      <c r="E716" s="177"/>
      <c r="F716" s="177"/>
      <c r="G716" s="177"/>
      <c r="H716" s="148"/>
      <c r="I716" s="7"/>
      <c r="J716" s="7"/>
      <c r="K716" s="7"/>
      <c r="L716" s="7"/>
      <c r="M716" s="7"/>
      <c r="N716" s="7"/>
      <c r="O716" s="7"/>
      <c r="P716" s="7"/>
      <c r="Q716" s="7"/>
      <c r="R716" s="7"/>
      <c r="S716" s="7"/>
      <c r="T716" s="7"/>
      <c r="U716" s="7"/>
      <c r="V716" s="7"/>
      <c r="W716" s="7"/>
      <c r="X716" s="7"/>
      <c r="Y716" s="7"/>
      <c r="Z716" s="7"/>
      <c r="AA716" s="7"/>
    </row>
    <row r="717">
      <c r="A717" s="242"/>
      <c r="B717" s="242"/>
      <c r="C717" s="177"/>
      <c r="D717" s="177"/>
      <c r="E717" s="177"/>
      <c r="F717" s="177"/>
      <c r="G717" s="177"/>
      <c r="H717" s="148"/>
      <c r="I717" s="7"/>
      <c r="J717" s="7"/>
      <c r="K717" s="7"/>
      <c r="L717" s="7"/>
      <c r="M717" s="7"/>
      <c r="N717" s="7"/>
      <c r="O717" s="7"/>
      <c r="P717" s="7"/>
      <c r="Q717" s="7"/>
      <c r="R717" s="7"/>
      <c r="S717" s="7"/>
      <c r="T717" s="7"/>
      <c r="U717" s="7"/>
      <c r="V717" s="7"/>
      <c r="W717" s="7"/>
      <c r="X717" s="7"/>
      <c r="Y717" s="7"/>
      <c r="Z717" s="7"/>
      <c r="AA717" s="7"/>
    </row>
    <row r="718">
      <c r="A718" s="242"/>
      <c r="B718" s="242"/>
      <c r="C718" s="177"/>
      <c r="D718" s="177"/>
      <c r="E718" s="177"/>
      <c r="F718" s="177"/>
      <c r="G718" s="177"/>
      <c r="H718" s="148"/>
      <c r="I718" s="7"/>
      <c r="J718" s="7"/>
      <c r="K718" s="7"/>
      <c r="L718" s="7"/>
      <c r="M718" s="7"/>
      <c r="N718" s="7"/>
      <c r="O718" s="7"/>
      <c r="P718" s="7"/>
      <c r="Q718" s="7"/>
      <c r="R718" s="7"/>
      <c r="S718" s="7"/>
      <c r="T718" s="7"/>
      <c r="U718" s="7"/>
      <c r="V718" s="7"/>
      <c r="W718" s="7"/>
      <c r="X718" s="7"/>
      <c r="Y718" s="7"/>
      <c r="Z718" s="7"/>
      <c r="AA718" s="7"/>
    </row>
    <row r="719">
      <c r="A719" s="242"/>
      <c r="B719" s="242"/>
      <c r="C719" s="177"/>
      <c r="D719" s="177"/>
      <c r="E719" s="177"/>
      <c r="F719" s="177"/>
      <c r="G719" s="177"/>
      <c r="H719" s="148"/>
      <c r="I719" s="7"/>
      <c r="J719" s="7"/>
      <c r="K719" s="7"/>
      <c r="L719" s="7"/>
      <c r="M719" s="7"/>
      <c r="N719" s="7"/>
      <c r="O719" s="7"/>
      <c r="P719" s="7"/>
      <c r="Q719" s="7"/>
      <c r="R719" s="7"/>
      <c r="S719" s="7"/>
      <c r="T719" s="7"/>
      <c r="U719" s="7"/>
      <c r="V719" s="7"/>
      <c r="W719" s="7"/>
      <c r="X719" s="7"/>
      <c r="Y719" s="7"/>
      <c r="Z719" s="7"/>
      <c r="AA719" s="7"/>
    </row>
    <row r="720">
      <c r="A720" s="242"/>
      <c r="B720" s="242"/>
      <c r="C720" s="177"/>
      <c r="D720" s="177"/>
      <c r="E720" s="177"/>
      <c r="F720" s="177"/>
      <c r="G720" s="177"/>
      <c r="H720" s="148"/>
      <c r="I720" s="7"/>
      <c r="J720" s="7"/>
      <c r="K720" s="7"/>
      <c r="L720" s="7"/>
      <c r="M720" s="7"/>
      <c r="N720" s="7"/>
      <c r="O720" s="7"/>
      <c r="P720" s="7"/>
      <c r="Q720" s="7"/>
      <c r="R720" s="7"/>
      <c r="S720" s="7"/>
      <c r="T720" s="7"/>
      <c r="U720" s="7"/>
      <c r="V720" s="7"/>
      <c r="W720" s="7"/>
      <c r="X720" s="7"/>
      <c r="Y720" s="7"/>
      <c r="Z720" s="7"/>
      <c r="AA720" s="7"/>
    </row>
    <row r="721">
      <c r="A721" s="242"/>
      <c r="B721" s="242"/>
      <c r="C721" s="177"/>
      <c r="D721" s="177"/>
      <c r="E721" s="177"/>
      <c r="F721" s="177"/>
      <c r="G721" s="177"/>
      <c r="H721" s="148"/>
      <c r="I721" s="7"/>
      <c r="J721" s="7"/>
      <c r="K721" s="7"/>
      <c r="L721" s="7"/>
      <c r="M721" s="7"/>
      <c r="N721" s="7"/>
      <c r="O721" s="7"/>
      <c r="P721" s="7"/>
      <c r="Q721" s="7"/>
      <c r="R721" s="7"/>
      <c r="S721" s="7"/>
      <c r="T721" s="7"/>
      <c r="U721" s="7"/>
      <c r="V721" s="7"/>
      <c r="W721" s="7"/>
      <c r="X721" s="7"/>
      <c r="Y721" s="7"/>
      <c r="Z721" s="7"/>
      <c r="AA721" s="7"/>
    </row>
    <row r="722">
      <c r="A722" s="242"/>
      <c r="B722" s="242"/>
      <c r="C722" s="177"/>
      <c r="D722" s="177"/>
      <c r="E722" s="177"/>
      <c r="F722" s="177"/>
      <c r="G722" s="177"/>
      <c r="H722" s="148"/>
      <c r="I722" s="7"/>
      <c r="J722" s="7"/>
      <c r="K722" s="7"/>
      <c r="L722" s="7"/>
      <c r="M722" s="7"/>
      <c r="N722" s="7"/>
      <c r="O722" s="7"/>
      <c r="P722" s="7"/>
      <c r="Q722" s="7"/>
      <c r="R722" s="7"/>
      <c r="S722" s="7"/>
      <c r="T722" s="7"/>
      <c r="U722" s="7"/>
      <c r="V722" s="7"/>
      <c r="W722" s="7"/>
      <c r="X722" s="7"/>
      <c r="Y722" s="7"/>
      <c r="Z722" s="7"/>
      <c r="AA722" s="7"/>
    </row>
    <row r="723">
      <c r="A723" s="242"/>
      <c r="B723" s="242"/>
      <c r="C723" s="177"/>
      <c r="D723" s="177"/>
      <c r="E723" s="177"/>
      <c r="F723" s="177"/>
      <c r="G723" s="177"/>
      <c r="H723" s="148"/>
      <c r="I723" s="7"/>
      <c r="J723" s="7"/>
      <c r="K723" s="7"/>
      <c r="L723" s="7"/>
      <c r="M723" s="7"/>
      <c r="N723" s="7"/>
      <c r="O723" s="7"/>
      <c r="P723" s="7"/>
      <c r="Q723" s="7"/>
      <c r="R723" s="7"/>
      <c r="S723" s="7"/>
      <c r="T723" s="7"/>
      <c r="U723" s="7"/>
      <c r="V723" s="7"/>
      <c r="W723" s="7"/>
      <c r="X723" s="7"/>
      <c r="Y723" s="7"/>
      <c r="Z723" s="7"/>
      <c r="AA723" s="7"/>
    </row>
    <row r="724">
      <c r="A724" s="242"/>
      <c r="B724" s="242"/>
      <c r="C724" s="177"/>
      <c r="D724" s="177"/>
      <c r="E724" s="177"/>
      <c r="F724" s="177"/>
      <c r="G724" s="177"/>
      <c r="H724" s="148"/>
      <c r="I724" s="7"/>
      <c r="J724" s="7"/>
      <c r="K724" s="7"/>
      <c r="L724" s="7"/>
      <c r="M724" s="7"/>
      <c r="N724" s="7"/>
      <c r="O724" s="7"/>
      <c r="P724" s="7"/>
      <c r="Q724" s="7"/>
      <c r="R724" s="7"/>
      <c r="S724" s="7"/>
      <c r="T724" s="7"/>
      <c r="U724" s="7"/>
      <c r="V724" s="7"/>
      <c r="W724" s="7"/>
      <c r="X724" s="7"/>
      <c r="Y724" s="7"/>
      <c r="Z724" s="7"/>
      <c r="AA724" s="7"/>
    </row>
    <row r="725">
      <c r="A725" s="242"/>
      <c r="B725" s="242"/>
      <c r="C725" s="177"/>
      <c r="D725" s="177"/>
      <c r="E725" s="177"/>
      <c r="F725" s="177"/>
      <c r="G725" s="177"/>
      <c r="H725" s="148"/>
      <c r="I725" s="7"/>
      <c r="J725" s="7"/>
      <c r="K725" s="7"/>
      <c r="L725" s="7"/>
      <c r="M725" s="7"/>
      <c r="N725" s="7"/>
      <c r="O725" s="7"/>
      <c r="P725" s="7"/>
      <c r="Q725" s="7"/>
      <c r="R725" s="7"/>
      <c r="S725" s="7"/>
      <c r="T725" s="7"/>
      <c r="U725" s="7"/>
      <c r="V725" s="7"/>
      <c r="W725" s="7"/>
      <c r="X725" s="7"/>
      <c r="Y725" s="7"/>
      <c r="Z725" s="7"/>
      <c r="AA725" s="7"/>
    </row>
    <row r="726">
      <c r="A726" s="242"/>
      <c r="B726" s="242"/>
      <c r="C726" s="177"/>
      <c r="D726" s="177"/>
      <c r="E726" s="177"/>
      <c r="F726" s="177"/>
      <c r="G726" s="177"/>
      <c r="H726" s="148"/>
      <c r="I726" s="7"/>
      <c r="J726" s="7"/>
      <c r="K726" s="7"/>
      <c r="L726" s="7"/>
      <c r="M726" s="7"/>
      <c r="N726" s="7"/>
      <c r="O726" s="7"/>
      <c r="P726" s="7"/>
      <c r="Q726" s="7"/>
      <c r="R726" s="7"/>
      <c r="S726" s="7"/>
      <c r="T726" s="7"/>
      <c r="U726" s="7"/>
      <c r="V726" s="7"/>
      <c r="W726" s="7"/>
      <c r="X726" s="7"/>
      <c r="Y726" s="7"/>
      <c r="Z726" s="7"/>
      <c r="AA726" s="7"/>
    </row>
    <row r="727">
      <c r="A727" s="242"/>
      <c r="B727" s="242"/>
      <c r="C727" s="177"/>
      <c r="D727" s="177"/>
      <c r="E727" s="177"/>
      <c r="F727" s="177"/>
      <c r="G727" s="177"/>
      <c r="H727" s="148"/>
      <c r="I727" s="7"/>
      <c r="J727" s="7"/>
      <c r="K727" s="7"/>
      <c r="L727" s="7"/>
      <c r="M727" s="7"/>
      <c r="N727" s="7"/>
      <c r="O727" s="7"/>
      <c r="P727" s="7"/>
      <c r="Q727" s="7"/>
      <c r="R727" s="7"/>
      <c r="S727" s="7"/>
      <c r="T727" s="7"/>
      <c r="U727" s="7"/>
      <c r="V727" s="7"/>
      <c r="W727" s="7"/>
      <c r="X727" s="7"/>
      <c r="Y727" s="7"/>
      <c r="Z727" s="7"/>
      <c r="AA727" s="7"/>
    </row>
    <row r="728">
      <c r="A728" s="242"/>
      <c r="B728" s="242"/>
      <c r="C728" s="177"/>
      <c r="D728" s="177"/>
      <c r="E728" s="177"/>
      <c r="F728" s="177"/>
      <c r="G728" s="177"/>
      <c r="H728" s="148"/>
      <c r="I728" s="7"/>
      <c r="J728" s="7"/>
      <c r="K728" s="7"/>
      <c r="L728" s="7"/>
      <c r="M728" s="7"/>
      <c r="N728" s="7"/>
      <c r="O728" s="7"/>
      <c r="P728" s="7"/>
      <c r="Q728" s="7"/>
      <c r="R728" s="7"/>
      <c r="S728" s="7"/>
      <c r="T728" s="7"/>
      <c r="U728" s="7"/>
      <c r="V728" s="7"/>
      <c r="W728" s="7"/>
      <c r="X728" s="7"/>
      <c r="Y728" s="7"/>
      <c r="Z728" s="7"/>
      <c r="AA728" s="7"/>
    </row>
    <row r="729">
      <c r="A729" s="242"/>
      <c r="B729" s="242"/>
      <c r="C729" s="177"/>
      <c r="D729" s="177"/>
      <c r="E729" s="177"/>
      <c r="F729" s="177"/>
      <c r="G729" s="177"/>
      <c r="H729" s="148"/>
      <c r="I729" s="7"/>
      <c r="J729" s="7"/>
      <c r="K729" s="7"/>
      <c r="L729" s="7"/>
      <c r="M729" s="7"/>
      <c r="N729" s="7"/>
      <c r="O729" s="7"/>
      <c r="P729" s="7"/>
      <c r="Q729" s="7"/>
      <c r="R729" s="7"/>
      <c r="S729" s="7"/>
      <c r="T729" s="7"/>
      <c r="U729" s="7"/>
      <c r="V729" s="7"/>
      <c r="W729" s="7"/>
      <c r="X729" s="7"/>
      <c r="Y729" s="7"/>
      <c r="Z729" s="7"/>
      <c r="AA729" s="7"/>
    </row>
    <row r="730">
      <c r="A730" s="242"/>
      <c r="B730" s="242"/>
      <c r="C730" s="177"/>
      <c r="D730" s="177"/>
      <c r="E730" s="177"/>
      <c r="F730" s="177"/>
      <c r="G730" s="177"/>
      <c r="H730" s="148"/>
      <c r="I730" s="7"/>
      <c r="J730" s="7"/>
      <c r="K730" s="7"/>
      <c r="L730" s="7"/>
      <c r="M730" s="7"/>
      <c r="N730" s="7"/>
      <c r="O730" s="7"/>
      <c r="P730" s="7"/>
      <c r="Q730" s="7"/>
      <c r="R730" s="7"/>
      <c r="S730" s="7"/>
      <c r="T730" s="7"/>
      <c r="U730" s="7"/>
      <c r="V730" s="7"/>
      <c r="W730" s="7"/>
      <c r="X730" s="7"/>
      <c r="Y730" s="7"/>
      <c r="Z730" s="7"/>
      <c r="AA730" s="7"/>
    </row>
    <row r="731">
      <c r="A731" s="242"/>
      <c r="B731" s="242"/>
      <c r="C731" s="177"/>
      <c r="D731" s="177"/>
      <c r="E731" s="177"/>
      <c r="F731" s="177"/>
      <c r="G731" s="177"/>
      <c r="H731" s="148"/>
      <c r="I731" s="7"/>
      <c r="J731" s="7"/>
      <c r="K731" s="7"/>
      <c r="L731" s="7"/>
      <c r="M731" s="7"/>
      <c r="N731" s="7"/>
      <c r="O731" s="7"/>
      <c r="P731" s="7"/>
      <c r="Q731" s="7"/>
      <c r="R731" s="7"/>
      <c r="S731" s="7"/>
      <c r="T731" s="7"/>
      <c r="U731" s="7"/>
      <c r="V731" s="7"/>
      <c r="W731" s="7"/>
      <c r="X731" s="7"/>
      <c r="Y731" s="7"/>
      <c r="Z731" s="7"/>
      <c r="AA731" s="7"/>
    </row>
    <row r="732">
      <c r="A732" s="242"/>
      <c r="B732" s="242"/>
      <c r="C732" s="177"/>
      <c r="D732" s="177"/>
      <c r="E732" s="177"/>
      <c r="F732" s="177"/>
      <c r="G732" s="177"/>
      <c r="H732" s="148"/>
      <c r="I732" s="7"/>
      <c r="J732" s="7"/>
      <c r="K732" s="7"/>
      <c r="L732" s="7"/>
      <c r="M732" s="7"/>
      <c r="N732" s="7"/>
      <c r="O732" s="7"/>
      <c r="P732" s="7"/>
      <c r="Q732" s="7"/>
      <c r="R732" s="7"/>
      <c r="S732" s="7"/>
      <c r="T732" s="7"/>
      <c r="U732" s="7"/>
      <c r="V732" s="7"/>
      <c r="W732" s="7"/>
      <c r="X732" s="7"/>
      <c r="Y732" s="7"/>
      <c r="Z732" s="7"/>
      <c r="AA732" s="7"/>
    </row>
    <row r="733">
      <c r="A733" s="242"/>
      <c r="B733" s="242"/>
      <c r="C733" s="177"/>
      <c r="D733" s="177"/>
      <c r="E733" s="177"/>
      <c r="F733" s="177"/>
      <c r="G733" s="177"/>
      <c r="H733" s="148"/>
      <c r="I733" s="7"/>
      <c r="J733" s="7"/>
      <c r="K733" s="7"/>
      <c r="L733" s="7"/>
      <c r="M733" s="7"/>
      <c r="N733" s="7"/>
      <c r="O733" s="7"/>
      <c r="P733" s="7"/>
      <c r="Q733" s="7"/>
      <c r="R733" s="7"/>
      <c r="S733" s="7"/>
      <c r="T733" s="7"/>
      <c r="U733" s="7"/>
      <c r="V733" s="7"/>
      <c r="W733" s="7"/>
      <c r="X733" s="7"/>
      <c r="Y733" s="7"/>
      <c r="Z733" s="7"/>
      <c r="AA733" s="7"/>
    </row>
    <row r="734">
      <c r="A734" s="242"/>
      <c r="B734" s="242"/>
      <c r="C734" s="177"/>
      <c r="D734" s="177"/>
      <c r="E734" s="177"/>
      <c r="F734" s="177"/>
      <c r="G734" s="177"/>
      <c r="H734" s="148"/>
      <c r="I734" s="7"/>
      <c r="J734" s="7"/>
      <c r="K734" s="7"/>
      <c r="L734" s="7"/>
      <c r="M734" s="7"/>
      <c r="N734" s="7"/>
      <c r="O734" s="7"/>
      <c r="P734" s="7"/>
      <c r="Q734" s="7"/>
      <c r="R734" s="7"/>
      <c r="S734" s="7"/>
      <c r="T734" s="7"/>
      <c r="U734" s="7"/>
      <c r="V734" s="7"/>
      <c r="W734" s="7"/>
      <c r="X734" s="7"/>
      <c r="Y734" s="7"/>
      <c r="Z734" s="7"/>
      <c r="AA734" s="7"/>
    </row>
    <row r="735">
      <c r="A735" s="242"/>
      <c r="B735" s="242"/>
      <c r="C735" s="177"/>
      <c r="D735" s="177"/>
      <c r="E735" s="177"/>
      <c r="F735" s="177"/>
      <c r="G735" s="177"/>
      <c r="H735" s="148"/>
      <c r="I735" s="7"/>
      <c r="J735" s="7"/>
      <c r="K735" s="7"/>
      <c r="L735" s="7"/>
      <c r="M735" s="7"/>
      <c r="N735" s="7"/>
      <c r="O735" s="7"/>
      <c r="P735" s="7"/>
      <c r="Q735" s="7"/>
      <c r="R735" s="7"/>
      <c r="S735" s="7"/>
      <c r="T735" s="7"/>
      <c r="U735" s="7"/>
      <c r="V735" s="7"/>
      <c r="W735" s="7"/>
      <c r="X735" s="7"/>
      <c r="Y735" s="7"/>
      <c r="Z735" s="7"/>
      <c r="AA735" s="7"/>
    </row>
    <row r="736">
      <c r="A736" s="242"/>
      <c r="B736" s="242"/>
      <c r="C736" s="177"/>
      <c r="D736" s="177"/>
      <c r="E736" s="177"/>
      <c r="F736" s="177"/>
      <c r="G736" s="177"/>
      <c r="H736" s="148"/>
      <c r="I736" s="7"/>
      <c r="J736" s="7"/>
      <c r="K736" s="7"/>
      <c r="L736" s="7"/>
      <c r="M736" s="7"/>
      <c r="N736" s="7"/>
      <c r="O736" s="7"/>
      <c r="P736" s="7"/>
      <c r="Q736" s="7"/>
      <c r="R736" s="7"/>
      <c r="S736" s="7"/>
      <c r="T736" s="7"/>
      <c r="U736" s="7"/>
      <c r="V736" s="7"/>
      <c r="W736" s="7"/>
      <c r="X736" s="7"/>
      <c r="Y736" s="7"/>
      <c r="Z736" s="7"/>
      <c r="AA736" s="7"/>
    </row>
    <row r="737">
      <c r="A737" s="242"/>
      <c r="B737" s="242"/>
      <c r="C737" s="177"/>
      <c r="D737" s="177"/>
      <c r="E737" s="177"/>
      <c r="F737" s="177"/>
      <c r="G737" s="177"/>
      <c r="H737" s="148"/>
      <c r="I737" s="7"/>
      <c r="J737" s="7"/>
      <c r="K737" s="7"/>
      <c r="L737" s="7"/>
      <c r="M737" s="7"/>
      <c r="N737" s="7"/>
      <c r="O737" s="7"/>
      <c r="P737" s="7"/>
      <c r="Q737" s="7"/>
      <c r="R737" s="7"/>
      <c r="S737" s="7"/>
      <c r="T737" s="7"/>
      <c r="U737" s="7"/>
      <c r="V737" s="7"/>
      <c r="W737" s="7"/>
      <c r="X737" s="7"/>
      <c r="Y737" s="7"/>
      <c r="Z737" s="7"/>
      <c r="AA737" s="7"/>
    </row>
    <row r="738">
      <c r="A738" s="242"/>
      <c r="B738" s="242"/>
      <c r="C738" s="177"/>
      <c r="D738" s="177"/>
      <c r="E738" s="177"/>
      <c r="F738" s="177"/>
      <c r="G738" s="177"/>
      <c r="H738" s="148"/>
      <c r="I738" s="7"/>
      <c r="J738" s="7"/>
      <c r="K738" s="7"/>
      <c r="L738" s="7"/>
      <c r="M738" s="7"/>
      <c r="N738" s="7"/>
      <c r="O738" s="7"/>
      <c r="P738" s="7"/>
      <c r="Q738" s="7"/>
      <c r="R738" s="7"/>
      <c r="S738" s="7"/>
      <c r="T738" s="7"/>
      <c r="U738" s="7"/>
      <c r="V738" s="7"/>
      <c r="W738" s="7"/>
      <c r="X738" s="7"/>
      <c r="Y738" s="7"/>
      <c r="Z738" s="7"/>
      <c r="AA738" s="7"/>
    </row>
    <row r="739">
      <c r="A739" s="242"/>
      <c r="B739" s="242"/>
      <c r="C739" s="177"/>
      <c r="D739" s="177"/>
      <c r="E739" s="177"/>
      <c r="F739" s="177"/>
      <c r="G739" s="177"/>
      <c r="H739" s="148"/>
      <c r="I739" s="7"/>
      <c r="J739" s="7"/>
      <c r="K739" s="7"/>
      <c r="L739" s="7"/>
      <c r="M739" s="7"/>
      <c r="N739" s="7"/>
      <c r="O739" s="7"/>
      <c r="P739" s="7"/>
      <c r="Q739" s="7"/>
      <c r="R739" s="7"/>
      <c r="S739" s="7"/>
      <c r="T739" s="7"/>
      <c r="U739" s="7"/>
      <c r="V739" s="7"/>
      <c r="W739" s="7"/>
      <c r="X739" s="7"/>
      <c r="Y739" s="7"/>
      <c r="Z739" s="7"/>
      <c r="AA739" s="7"/>
    </row>
    <row r="740">
      <c r="A740" s="242"/>
      <c r="B740" s="242"/>
      <c r="C740" s="177"/>
      <c r="D740" s="177"/>
      <c r="E740" s="177"/>
      <c r="F740" s="177"/>
      <c r="G740" s="177"/>
      <c r="H740" s="148"/>
      <c r="I740" s="7"/>
      <c r="J740" s="7"/>
      <c r="K740" s="7"/>
      <c r="L740" s="7"/>
      <c r="M740" s="7"/>
      <c r="N740" s="7"/>
      <c r="O740" s="7"/>
      <c r="P740" s="7"/>
      <c r="Q740" s="7"/>
      <c r="R740" s="7"/>
      <c r="S740" s="7"/>
      <c r="T740" s="7"/>
      <c r="U740" s="7"/>
      <c r="V740" s="7"/>
      <c r="W740" s="7"/>
      <c r="X740" s="7"/>
      <c r="Y740" s="7"/>
      <c r="Z740" s="7"/>
      <c r="AA740" s="7"/>
    </row>
    <row r="741">
      <c r="A741" s="242"/>
      <c r="B741" s="242"/>
      <c r="C741" s="177"/>
      <c r="D741" s="177"/>
      <c r="E741" s="177"/>
      <c r="F741" s="177"/>
      <c r="G741" s="177"/>
      <c r="H741" s="148"/>
      <c r="I741" s="7"/>
      <c r="J741" s="7"/>
      <c r="K741" s="7"/>
      <c r="L741" s="7"/>
      <c r="M741" s="7"/>
      <c r="N741" s="7"/>
      <c r="O741" s="7"/>
      <c r="P741" s="7"/>
      <c r="Q741" s="7"/>
      <c r="R741" s="7"/>
      <c r="S741" s="7"/>
      <c r="T741" s="7"/>
      <c r="U741" s="7"/>
      <c r="V741" s="7"/>
      <c r="W741" s="7"/>
      <c r="X741" s="7"/>
      <c r="Y741" s="7"/>
      <c r="Z741" s="7"/>
      <c r="AA741" s="7"/>
    </row>
    <row r="742">
      <c r="A742" s="242"/>
      <c r="B742" s="242"/>
      <c r="C742" s="177"/>
      <c r="D742" s="177"/>
      <c r="E742" s="177"/>
      <c r="F742" s="177"/>
      <c r="G742" s="177"/>
      <c r="H742" s="148"/>
      <c r="I742" s="7"/>
      <c r="J742" s="7"/>
      <c r="K742" s="7"/>
      <c r="L742" s="7"/>
      <c r="M742" s="7"/>
      <c r="N742" s="7"/>
      <c r="O742" s="7"/>
      <c r="P742" s="7"/>
      <c r="Q742" s="7"/>
      <c r="R742" s="7"/>
      <c r="S742" s="7"/>
      <c r="T742" s="7"/>
      <c r="U742" s="7"/>
      <c r="V742" s="7"/>
      <c r="W742" s="7"/>
      <c r="X742" s="7"/>
      <c r="Y742" s="7"/>
      <c r="Z742" s="7"/>
      <c r="AA742" s="7"/>
    </row>
    <row r="743">
      <c r="A743" s="242"/>
      <c r="B743" s="242"/>
      <c r="C743" s="177"/>
      <c r="D743" s="177"/>
      <c r="E743" s="177"/>
      <c r="F743" s="177"/>
      <c r="G743" s="177"/>
      <c r="H743" s="148"/>
      <c r="I743" s="7"/>
      <c r="J743" s="7"/>
      <c r="K743" s="7"/>
      <c r="L743" s="7"/>
      <c r="M743" s="7"/>
      <c r="N743" s="7"/>
      <c r="O743" s="7"/>
      <c r="P743" s="7"/>
      <c r="Q743" s="7"/>
      <c r="R743" s="7"/>
      <c r="S743" s="7"/>
      <c r="T743" s="7"/>
      <c r="U743" s="7"/>
      <c r="V743" s="7"/>
      <c r="W743" s="7"/>
      <c r="X743" s="7"/>
      <c r="Y743" s="7"/>
      <c r="Z743" s="7"/>
      <c r="AA743" s="7"/>
    </row>
    <row r="744">
      <c r="A744" s="242"/>
      <c r="B744" s="242"/>
      <c r="C744" s="177"/>
      <c r="D744" s="177"/>
      <c r="E744" s="177"/>
      <c r="F744" s="177"/>
      <c r="G744" s="177"/>
      <c r="H744" s="148"/>
      <c r="I744" s="7"/>
      <c r="J744" s="7"/>
      <c r="K744" s="7"/>
      <c r="L744" s="7"/>
      <c r="M744" s="7"/>
      <c r="N744" s="7"/>
      <c r="O744" s="7"/>
      <c r="P744" s="7"/>
      <c r="Q744" s="7"/>
      <c r="R744" s="7"/>
      <c r="S744" s="7"/>
      <c r="T744" s="7"/>
      <c r="U744" s="7"/>
      <c r="V744" s="7"/>
      <c r="W744" s="7"/>
      <c r="X744" s="7"/>
      <c r="Y744" s="7"/>
      <c r="Z744" s="7"/>
      <c r="AA744" s="7"/>
    </row>
    <row r="745">
      <c r="A745" s="242"/>
      <c r="B745" s="242"/>
      <c r="C745" s="177"/>
      <c r="D745" s="177"/>
      <c r="E745" s="177"/>
      <c r="F745" s="177"/>
      <c r="G745" s="177"/>
      <c r="H745" s="148"/>
      <c r="I745" s="7"/>
      <c r="J745" s="7"/>
      <c r="K745" s="7"/>
      <c r="L745" s="7"/>
      <c r="M745" s="7"/>
      <c r="N745" s="7"/>
      <c r="O745" s="7"/>
      <c r="P745" s="7"/>
      <c r="Q745" s="7"/>
      <c r="R745" s="7"/>
      <c r="S745" s="7"/>
      <c r="T745" s="7"/>
      <c r="U745" s="7"/>
      <c r="V745" s="7"/>
      <c r="W745" s="7"/>
      <c r="X745" s="7"/>
      <c r="Y745" s="7"/>
      <c r="Z745" s="7"/>
      <c r="AA745" s="7"/>
    </row>
    <row r="746">
      <c r="A746" s="242"/>
      <c r="B746" s="242"/>
      <c r="C746" s="177"/>
      <c r="D746" s="177"/>
      <c r="E746" s="177"/>
      <c r="F746" s="177"/>
      <c r="G746" s="177"/>
      <c r="H746" s="148"/>
      <c r="I746" s="7"/>
      <c r="J746" s="7"/>
      <c r="K746" s="7"/>
      <c r="L746" s="7"/>
      <c r="M746" s="7"/>
      <c r="N746" s="7"/>
      <c r="O746" s="7"/>
      <c r="P746" s="7"/>
      <c r="Q746" s="7"/>
      <c r="R746" s="7"/>
      <c r="S746" s="7"/>
      <c r="T746" s="7"/>
      <c r="U746" s="7"/>
      <c r="V746" s="7"/>
      <c r="W746" s="7"/>
      <c r="X746" s="7"/>
      <c r="Y746" s="7"/>
      <c r="Z746" s="7"/>
      <c r="AA746" s="7"/>
    </row>
    <row r="747">
      <c r="A747" s="242"/>
      <c r="B747" s="242"/>
      <c r="C747" s="177"/>
      <c r="D747" s="177"/>
      <c r="E747" s="177"/>
      <c r="F747" s="177"/>
      <c r="G747" s="177"/>
      <c r="H747" s="148"/>
      <c r="I747" s="7"/>
      <c r="J747" s="7"/>
      <c r="K747" s="7"/>
      <c r="L747" s="7"/>
      <c r="M747" s="7"/>
      <c r="N747" s="7"/>
      <c r="O747" s="7"/>
      <c r="P747" s="7"/>
      <c r="Q747" s="7"/>
      <c r="R747" s="7"/>
      <c r="S747" s="7"/>
      <c r="T747" s="7"/>
      <c r="U747" s="7"/>
      <c r="V747" s="7"/>
      <c r="W747" s="7"/>
      <c r="X747" s="7"/>
      <c r="Y747" s="7"/>
      <c r="Z747" s="7"/>
      <c r="AA747" s="7"/>
    </row>
    <row r="748">
      <c r="A748" s="242"/>
      <c r="B748" s="242"/>
      <c r="C748" s="177"/>
      <c r="D748" s="177"/>
      <c r="E748" s="177"/>
      <c r="F748" s="177"/>
      <c r="G748" s="177"/>
      <c r="H748" s="148"/>
      <c r="I748" s="7"/>
      <c r="J748" s="7"/>
      <c r="K748" s="7"/>
      <c r="L748" s="7"/>
      <c r="M748" s="7"/>
      <c r="N748" s="7"/>
      <c r="O748" s="7"/>
      <c r="P748" s="7"/>
      <c r="Q748" s="7"/>
      <c r="R748" s="7"/>
      <c r="S748" s="7"/>
      <c r="T748" s="7"/>
      <c r="U748" s="7"/>
      <c r="V748" s="7"/>
      <c r="W748" s="7"/>
      <c r="X748" s="7"/>
      <c r="Y748" s="7"/>
      <c r="Z748" s="7"/>
      <c r="AA748" s="7"/>
    </row>
    <row r="749">
      <c r="A749" s="242"/>
      <c r="B749" s="242"/>
      <c r="C749" s="177"/>
      <c r="D749" s="177"/>
      <c r="E749" s="177"/>
      <c r="F749" s="177"/>
      <c r="G749" s="177"/>
      <c r="H749" s="148"/>
      <c r="I749" s="7"/>
      <c r="J749" s="7"/>
      <c r="K749" s="7"/>
      <c r="L749" s="7"/>
      <c r="M749" s="7"/>
      <c r="N749" s="7"/>
      <c r="O749" s="7"/>
      <c r="P749" s="7"/>
      <c r="Q749" s="7"/>
      <c r="R749" s="7"/>
      <c r="S749" s="7"/>
      <c r="T749" s="7"/>
      <c r="U749" s="7"/>
      <c r="V749" s="7"/>
      <c r="W749" s="7"/>
      <c r="X749" s="7"/>
      <c r="Y749" s="7"/>
      <c r="Z749" s="7"/>
      <c r="AA749" s="7"/>
    </row>
    <row r="750">
      <c r="A750" s="242"/>
      <c r="B750" s="242"/>
      <c r="C750" s="177"/>
      <c r="D750" s="177"/>
      <c r="E750" s="177"/>
      <c r="F750" s="177"/>
      <c r="G750" s="177"/>
      <c r="H750" s="148"/>
      <c r="I750" s="7"/>
      <c r="J750" s="7"/>
      <c r="K750" s="7"/>
      <c r="L750" s="7"/>
      <c r="M750" s="7"/>
      <c r="N750" s="7"/>
      <c r="O750" s="7"/>
      <c r="P750" s="7"/>
      <c r="Q750" s="7"/>
      <c r="R750" s="7"/>
      <c r="S750" s="7"/>
      <c r="T750" s="7"/>
      <c r="U750" s="7"/>
      <c r="V750" s="7"/>
      <c r="W750" s="7"/>
      <c r="X750" s="7"/>
      <c r="Y750" s="7"/>
      <c r="Z750" s="7"/>
      <c r="AA750" s="7"/>
    </row>
    <row r="751">
      <c r="A751" s="242"/>
      <c r="B751" s="242"/>
      <c r="C751" s="177"/>
      <c r="D751" s="177"/>
      <c r="E751" s="177"/>
      <c r="F751" s="177"/>
      <c r="G751" s="177"/>
      <c r="H751" s="148"/>
      <c r="I751" s="7"/>
      <c r="J751" s="7"/>
      <c r="K751" s="7"/>
      <c r="L751" s="7"/>
      <c r="M751" s="7"/>
      <c r="N751" s="7"/>
      <c r="O751" s="7"/>
      <c r="P751" s="7"/>
      <c r="Q751" s="7"/>
      <c r="R751" s="7"/>
      <c r="S751" s="7"/>
      <c r="T751" s="7"/>
      <c r="U751" s="7"/>
      <c r="V751" s="7"/>
      <c r="W751" s="7"/>
      <c r="X751" s="7"/>
      <c r="Y751" s="7"/>
      <c r="Z751" s="7"/>
      <c r="AA751" s="7"/>
    </row>
    <row r="752">
      <c r="A752" s="242"/>
      <c r="B752" s="242"/>
      <c r="C752" s="177"/>
      <c r="D752" s="177"/>
      <c r="E752" s="177"/>
      <c r="F752" s="177"/>
      <c r="G752" s="177"/>
      <c r="H752" s="148"/>
      <c r="I752" s="7"/>
      <c r="J752" s="7"/>
      <c r="K752" s="7"/>
      <c r="L752" s="7"/>
      <c r="M752" s="7"/>
      <c r="N752" s="7"/>
      <c r="O752" s="7"/>
      <c r="P752" s="7"/>
      <c r="Q752" s="7"/>
      <c r="R752" s="7"/>
      <c r="S752" s="7"/>
      <c r="T752" s="7"/>
      <c r="U752" s="7"/>
      <c r="V752" s="7"/>
      <c r="W752" s="7"/>
      <c r="X752" s="7"/>
      <c r="Y752" s="7"/>
      <c r="Z752" s="7"/>
      <c r="AA752" s="7"/>
    </row>
    <row r="753">
      <c r="A753" s="242"/>
      <c r="B753" s="242"/>
      <c r="C753" s="177"/>
      <c r="D753" s="177"/>
      <c r="E753" s="177"/>
      <c r="F753" s="177"/>
      <c r="G753" s="177"/>
      <c r="H753" s="148"/>
      <c r="I753" s="7"/>
      <c r="J753" s="7"/>
      <c r="K753" s="7"/>
      <c r="L753" s="7"/>
      <c r="M753" s="7"/>
      <c r="N753" s="7"/>
      <c r="O753" s="7"/>
      <c r="P753" s="7"/>
      <c r="Q753" s="7"/>
      <c r="R753" s="7"/>
      <c r="S753" s="7"/>
      <c r="T753" s="7"/>
      <c r="U753" s="7"/>
      <c r="V753" s="7"/>
      <c r="W753" s="7"/>
      <c r="X753" s="7"/>
      <c r="Y753" s="7"/>
      <c r="Z753" s="7"/>
      <c r="AA753" s="7"/>
    </row>
    <row r="754">
      <c r="A754" s="242"/>
      <c r="B754" s="242"/>
      <c r="C754" s="177"/>
      <c r="D754" s="177"/>
      <c r="E754" s="177"/>
      <c r="F754" s="177"/>
      <c r="G754" s="177"/>
      <c r="H754" s="148"/>
      <c r="I754" s="7"/>
      <c r="J754" s="7"/>
      <c r="K754" s="7"/>
      <c r="L754" s="7"/>
      <c r="M754" s="7"/>
      <c r="N754" s="7"/>
      <c r="O754" s="7"/>
      <c r="P754" s="7"/>
      <c r="Q754" s="7"/>
      <c r="R754" s="7"/>
      <c r="S754" s="7"/>
      <c r="T754" s="7"/>
      <c r="U754" s="7"/>
      <c r="V754" s="7"/>
      <c r="W754" s="7"/>
      <c r="X754" s="7"/>
      <c r="Y754" s="7"/>
      <c r="Z754" s="7"/>
      <c r="AA754" s="7"/>
    </row>
    <row r="755">
      <c r="A755" s="242"/>
      <c r="B755" s="242"/>
      <c r="C755" s="177"/>
      <c r="D755" s="177"/>
      <c r="E755" s="177"/>
      <c r="F755" s="177"/>
      <c r="G755" s="177"/>
      <c r="H755" s="148"/>
      <c r="I755" s="7"/>
      <c r="J755" s="7"/>
      <c r="K755" s="7"/>
      <c r="L755" s="7"/>
      <c r="M755" s="7"/>
      <c r="N755" s="7"/>
      <c r="O755" s="7"/>
      <c r="P755" s="7"/>
      <c r="Q755" s="7"/>
      <c r="R755" s="7"/>
      <c r="S755" s="7"/>
      <c r="T755" s="7"/>
      <c r="U755" s="7"/>
      <c r="V755" s="7"/>
      <c r="W755" s="7"/>
      <c r="X755" s="7"/>
      <c r="Y755" s="7"/>
      <c r="Z755" s="7"/>
      <c r="AA755" s="7"/>
    </row>
    <row r="756">
      <c r="A756" s="242"/>
      <c r="B756" s="242"/>
      <c r="C756" s="177"/>
      <c r="D756" s="177"/>
      <c r="E756" s="177"/>
      <c r="F756" s="177"/>
      <c r="G756" s="177"/>
      <c r="H756" s="148"/>
      <c r="I756" s="7"/>
      <c r="J756" s="7"/>
      <c r="K756" s="7"/>
      <c r="L756" s="7"/>
      <c r="M756" s="7"/>
      <c r="N756" s="7"/>
      <c r="O756" s="7"/>
      <c r="P756" s="7"/>
      <c r="Q756" s="7"/>
      <c r="R756" s="7"/>
      <c r="S756" s="7"/>
      <c r="T756" s="7"/>
      <c r="U756" s="7"/>
      <c r="V756" s="7"/>
      <c r="W756" s="7"/>
      <c r="X756" s="7"/>
      <c r="Y756" s="7"/>
      <c r="Z756" s="7"/>
      <c r="AA756" s="7"/>
    </row>
    <row r="757">
      <c r="A757" s="242"/>
      <c r="B757" s="242"/>
      <c r="C757" s="177"/>
      <c r="D757" s="177"/>
      <c r="E757" s="177"/>
      <c r="F757" s="177"/>
      <c r="G757" s="177"/>
      <c r="H757" s="148"/>
      <c r="I757" s="7"/>
      <c r="J757" s="7"/>
      <c r="K757" s="7"/>
      <c r="L757" s="7"/>
      <c r="M757" s="7"/>
      <c r="N757" s="7"/>
      <c r="O757" s="7"/>
      <c r="P757" s="7"/>
      <c r="Q757" s="7"/>
      <c r="R757" s="7"/>
      <c r="S757" s="7"/>
      <c r="T757" s="7"/>
      <c r="U757" s="7"/>
      <c r="V757" s="7"/>
      <c r="W757" s="7"/>
      <c r="X757" s="7"/>
      <c r="Y757" s="7"/>
      <c r="Z757" s="7"/>
      <c r="AA757" s="7"/>
    </row>
    <row r="758">
      <c r="A758" s="242"/>
      <c r="B758" s="242"/>
      <c r="C758" s="177"/>
      <c r="D758" s="177"/>
      <c r="E758" s="177"/>
      <c r="F758" s="177"/>
      <c r="G758" s="177"/>
      <c r="H758" s="148"/>
      <c r="I758" s="7"/>
      <c r="J758" s="7"/>
      <c r="K758" s="7"/>
      <c r="L758" s="7"/>
      <c r="M758" s="7"/>
      <c r="N758" s="7"/>
      <c r="O758" s="7"/>
      <c r="P758" s="7"/>
      <c r="Q758" s="7"/>
      <c r="R758" s="7"/>
      <c r="S758" s="7"/>
      <c r="T758" s="7"/>
      <c r="U758" s="7"/>
      <c r="V758" s="7"/>
      <c r="W758" s="7"/>
      <c r="X758" s="7"/>
      <c r="Y758" s="7"/>
      <c r="Z758" s="7"/>
      <c r="AA758" s="7"/>
    </row>
    <row r="759">
      <c r="A759" s="242"/>
      <c r="B759" s="242"/>
      <c r="C759" s="177"/>
      <c r="D759" s="177"/>
      <c r="E759" s="177"/>
      <c r="F759" s="177"/>
      <c r="G759" s="177"/>
      <c r="H759" s="148"/>
      <c r="I759" s="7"/>
      <c r="J759" s="7"/>
      <c r="K759" s="7"/>
      <c r="L759" s="7"/>
      <c r="M759" s="7"/>
      <c r="N759" s="7"/>
      <c r="O759" s="7"/>
      <c r="P759" s="7"/>
      <c r="Q759" s="7"/>
      <c r="R759" s="7"/>
      <c r="S759" s="7"/>
      <c r="T759" s="7"/>
      <c r="U759" s="7"/>
      <c r="V759" s="7"/>
      <c r="W759" s="7"/>
      <c r="X759" s="7"/>
      <c r="Y759" s="7"/>
      <c r="Z759" s="7"/>
      <c r="AA759" s="7"/>
    </row>
    <row r="760">
      <c r="A760" s="242"/>
      <c r="B760" s="242"/>
      <c r="C760" s="177"/>
      <c r="D760" s="177"/>
      <c r="E760" s="177"/>
      <c r="F760" s="177"/>
      <c r="G760" s="177"/>
      <c r="H760" s="148"/>
      <c r="I760" s="7"/>
      <c r="J760" s="7"/>
      <c r="K760" s="7"/>
      <c r="L760" s="7"/>
      <c r="M760" s="7"/>
      <c r="N760" s="7"/>
      <c r="O760" s="7"/>
      <c r="P760" s="7"/>
      <c r="Q760" s="7"/>
      <c r="R760" s="7"/>
      <c r="S760" s="7"/>
      <c r="T760" s="7"/>
      <c r="U760" s="7"/>
      <c r="V760" s="7"/>
      <c r="W760" s="7"/>
      <c r="X760" s="7"/>
      <c r="Y760" s="7"/>
      <c r="Z760" s="7"/>
      <c r="AA760" s="7"/>
    </row>
    <row r="761">
      <c r="A761" s="242"/>
      <c r="B761" s="242"/>
      <c r="C761" s="177"/>
      <c r="D761" s="177"/>
      <c r="E761" s="177"/>
      <c r="F761" s="177"/>
      <c r="G761" s="177"/>
      <c r="H761" s="148"/>
      <c r="I761" s="7"/>
      <c r="J761" s="7"/>
      <c r="K761" s="7"/>
      <c r="L761" s="7"/>
      <c r="M761" s="7"/>
      <c r="N761" s="7"/>
      <c r="O761" s="7"/>
      <c r="P761" s="7"/>
      <c r="Q761" s="7"/>
      <c r="R761" s="7"/>
      <c r="S761" s="7"/>
      <c r="T761" s="7"/>
      <c r="U761" s="7"/>
      <c r="V761" s="7"/>
      <c r="W761" s="7"/>
      <c r="X761" s="7"/>
      <c r="Y761" s="7"/>
      <c r="Z761" s="7"/>
      <c r="AA761" s="7"/>
    </row>
    <row r="762">
      <c r="A762" s="242"/>
      <c r="B762" s="242"/>
      <c r="C762" s="177"/>
      <c r="D762" s="177"/>
      <c r="E762" s="177"/>
      <c r="F762" s="177"/>
      <c r="G762" s="177"/>
      <c r="H762" s="148"/>
      <c r="I762" s="7"/>
      <c r="J762" s="7"/>
      <c r="K762" s="7"/>
      <c r="L762" s="7"/>
      <c r="M762" s="7"/>
      <c r="N762" s="7"/>
      <c r="O762" s="7"/>
      <c r="P762" s="7"/>
      <c r="Q762" s="7"/>
      <c r="R762" s="7"/>
      <c r="S762" s="7"/>
      <c r="T762" s="7"/>
      <c r="U762" s="7"/>
      <c r="V762" s="7"/>
      <c r="W762" s="7"/>
      <c r="X762" s="7"/>
      <c r="Y762" s="7"/>
      <c r="Z762" s="7"/>
      <c r="AA762" s="7"/>
    </row>
    <row r="763">
      <c r="A763" s="242"/>
      <c r="B763" s="242"/>
      <c r="C763" s="177"/>
      <c r="D763" s="177"/>
      <c r="E763" s="177"/>
      <c r="F763" s="177"/>
      <c r="G763" s="177"/>
      <c r="H763" s="148"/>
      <c r="I763" s="7"/>
      <c r="J763" s="7"/>
      <c r="K763" s="7"/>
      <c r="L763" s="7"/>
      <c r="M763" s="7"/>
      <c r="N763" s="7"/>
      <c r="O763" s="7"/>
      <c r="P763" s="7"/>
      <c r="Q763" s="7"/>
      <c r="R763" s="7"/>
      <c r="S763" s="7"/>
      <c r="T763" s="7"/>
      <c r="U763" s="7"/>
      <c r="V763" s="7"/>
      <c r="W763" s="7"/>
      <c r="X763" s="7"/>
      <c r="Y763" s="7"/>
      <c r="Z763" s="7"/>
      <c r="AA763" s="7"/>
    </row>
    <row r="764">
      <c r="A764" s="242"/>
      <c r="B764" s="242"/>
      <c r="C764" s="177"/>
      <c r="D764" s="177"/>
      <c r="E764" s="177"/>
      <c r="F764" s="177"/>
      <c r="G764" s="177"/>
      <c r="H764" s="148"/>
      <c r="I764" s="7"/>
      <c r="J764" s="7"/>
      <c r="K764" s="7"/>
      <c r="L764" s="7"/>
      <c r="M764" s="7"/>
      <c r="N764" s="7"/>
      <c r="O764" s="7"/>
      <c r="P764" s="7"/>
      <c r="Q764" s="7"/>
      <c r="R764" s="7"/>
      <c r="S764" s="7"/>
      <c r="T764" s="7"/>
      <c r="U764" s="7"/>
      <c r="V764" s="7"/>
      <c r="W764" s="7"/>
      <c r="X764" s="7"/>
      <c r="Y764" s="7"/>
      <c r="Z764" s="7"/>
      <c r="AA764" s="7"/>
    </row>
    <row r="765">
      <c r="A765" s="242"/>
      <c r="B765" s="242"/>
      <c r="C765" s="177"/>
      <c r="D765" s="177"/>
      <c r="E765" s="177"/>
      <c r="F765" s="177"/>
      <c r="G765" s="177"/>
      <c r="H765" s="148"/>
      <c r="I765" s="7"/>
      <c r="J765" s="7"/>
      <c r="K765" s="7"/>
      <c r="L765" s="7"/>
      <c r="M765" s="7"/>
      <c r="N765" s="7"/>
      <c r="O765" s="7"/>
      <c r="P765" s="7"/>
      <c r="Q765" s="7"/>
      <c r="R765" s="7"/>
      <c r="S765" s="7"/>
      <c r="T765" s="7"/>
      <c r="U765" s="7"/>
      <c r="V765" s="7"/>
      <c r="W765" s="7"/>
      <c r="X765" s="7"/>
      <c r="Y765" s="7"/>
      <c r="Z765" s="7"/>
      <c r="AA765" s="7"/>
    </row>
    <row r="766">
      <c r="A766" s="242"/>
      <c r="B766" s="242"/>
      <c r="C766" s="177"/>
      <c r="D766" s="177"/>
      <c r="E766" s="177"/>
      <c r="F766" s="177"/>
      <c r="G766" s="177"/>
      <c r="H766" s="148"/>
      <c r="I766" s="7"/>
      <c r="J766" s="7"/>
      <c r="K766" s="7"/>
      <c r="L766" s="7"/>
      <c r="M766" s="7"/>
      <c r="N766" s="7"/>
      <c r="O766" s="7"/>
      <c r="P766" s="7"/>
      <c r="Q766" s="7"/>
      <c r="R766" s="7"/>
      <c r="S766" s="7"/>
      <c r="T766" s="7"/>
      <c r="U766" s="7"/>
      <c r="V766" s="7"/>
      <c r="W766" s="7"/>
      <c r="X766" s="7"/>
      <c r="Y766" s="7"/>
      <c r="Z766" s="7"/>
      <c r="AA766" s="7"/>
    </row>
    <row r="767">
      <c r="A767" s="242"/>
      <c r="B767" s="242"/>
      <c r="C767" s="177"/>
      <c r="D767" s="177"/>
      <c r="E767" s="177"/>
      <c r="F767" s="177"/>
      <c r="G767" s="177"/>
      <c r="H767" s="148"/>
      <c r="I767" s="7"/>
      <c r="J767" s="7"/>
      <c r="K767" s="7"/>
      <c r="L767" s="7"/>
      <c r="M767" s="7"/>
      <c r="N767" s="7"/>
      <c r="O767" s="7"/>
      <c r="P767" s="7"/>
      <c r="Q767" s="7"/>
      <c r="R767" s="7"/>
      <c r="S767" s="7"/>
      <c r="T767" s="7"/>
      <c r="U767" s="7"/>
      <c r="V767" s="7"/>
      <c r="W767" s="7"/>
      <c r="X767" s="7"/>
      <c r="Y767" s="7"/>
      <c r="Z767" s="7"/>
      <c r="AA767" s="7"/>
    </row>
    <row r="768">
      <c r="A768" s="242"/>
      <c r="B768" s="242"/>
      <c r="C768" s="177"/>
      <c r="D768" s="177"/>
      <c r="E768" s="177"/>
      <c r="F768" s="177"/>
      <c r="G768" s="177"/>
      <c r="H768" s="148"/>
      <c r="I768" s="7"/>
      <c r="J768" s="7"/>
      <c r="K768" s="7"/>
      <c r="L768" s="7"/>
      <c r="M768" s="7"/>
      <c r="N768" s="7"/>
      <c r="O768" s="7"/>
      <c r="P768" s="7"/>
      <c r="Q768" s="7"/>
      <c r="R768" s="7"/>
      <c r="S768" s="7"/>
      <c r="T768" s="7"/>
      <c r="U768" s="7"/>
      <c r="V768" s="7"/>
      <c r="W768" s="7"/>
      <c r="X768" s="7"/>
      <c r="Y768" s="7"/>
      <c r="Z768" s="7"/>
      <c r="AA768" s="7"/>
    </row>
    <row r="769">
      <c r="A769" s="242"/>
      <c r="B769" s="242"/>
      <c r="C769" s="177"/>
      <c r="D769" s="177"/>
      <c r="E769" s="177"/>
      <c r="F769" s="177"/>
      <c r="G769" s="177"/>
      <c r="H769" s="148"/>
      <c r="I769" s="7"/>
      <c r="J769" s="7"/>
      <c r="K769" s="7"/>
      <c r="L769" s="7"/>
      <c r="M769" s="7"/>
      <c r="N769" s="7"/>
      <c r="O769" s="7"/>
      <c r="P769" s="7"/>
      <c r="Q769" s="7"/>
      <c r="R769" s="7"/>
      <c r="S769" s="7"/>
      <c r="T769" s="7"/>
      <c r="U769" s="7"/>
      <c r="V769" s="7"/>
      <c r="W769" s="7"/>
      <c r="X769" s="7"/>
      <c r="Y769" s="7"/>
      <c r="Z769" s="7"/>
      <c r="AA769" s="7"/>
    </row>
    <row r="770">
      <c r="A770" s="242"/>
      <c r="B770" s="242"/>
      <c r="C770" s="177"/>
      <c r="D770" s="177"/>
      <c r="E770" s="177"/>
      <c r="F770" s="177"/>
      <c r="G770" s="177"/>
      <c r="H770" s="148"/>
      <c r="I770" s="7"/>
      <c r="J770" s="7"/>
      <c r="K770" s="7"/>
      <c r="L770" s="7"/>
      <c r="M770" s="7"/>
      <c r="N770" s="7"/>
      <c r="O770" s="7"/>
      <c r="P770" s="7"/>
      <c r="Q770" s="7"/>
      <c r="R770" s="7"/>
      <c r="S770" s="7"/>
      <c r="T770" s="7"/>
      <c r="U770" s="7"/>
      <c r="V770" s="7"/>
      <c r="W770" s="7"/>
      <c r="X770" s="7"/>
      <c r="Y770" s="7"/>
      <c r="Z770" s="7"/>
      <c r="AA770" s="7"/>
    </row>
    <row r="771">
      <c r="A771" s="242"/>
      <c r="B771" s="242"/>
      <c r="C771" s="177"/>
      <c r="D771" s="177"/>
      <c r="E771" s="177"/>
      <c r="F771" s="177"/>
      <c r="G771" s="177"/>
      <c r="H771" s="148"/>
      <c r="I771" s="7"/>
      <c r="J771" s="7"/>
      <c r="K771" s="7"/>
      <c r="L771" s="7"/>
      <c r="M771" s="7"/>
      <c r="N771" s="7"/>
      <c r="O771" s="7"/>
      <c r="P771" s="7"/>
      <c r="Q771" s="7"/>
      <c r="R771" s="7"/>
      <c r="S771" s="7"/>
      <c r="T771" s="7"/>
      <c r="U771" s="7"/>
      <c r="V771" s="7"/>
      <c r="W771" s="7"/>
      <c r="X771" s="7"/>
      <c r="Y771" s="7"/>
      <c r="Z771" s="7"/>
      <c r="AA771" s="7"/>
    </row>
    <row r="772">
      <c r="A772" s="242"/>
      <c r="B772" s="242"/>
      <c r="C772" s="177"/>
      <c r="D772" s="177"/>
      <c r="E772" s="177"/>
      <c r="F772" s="177"/>
      <c r="G772" s="177"/>
      <c r="H772" s="148"/>
      <c r="I772" s="7"/>
      <c r="J772" s="7"/>
      <c r="K772" s="7"/>
      <c r="L772" s="7"/>
      <c r="M772" s="7"/>
      <c r="N772" s="7"/>
      <c r="O772" s="7"/>
      <c r="P772" s="7"/>
      <c r="Q772" s="7"/>
      <c r="R772" s="7"/>
      <c r="S772" s="7"/>
      <c r="T772" s="7"/>
      <c r="U772" s="7"/>
      <c r="V772" s="7"/>
      <c r="W772" s="7"/>
      <c r="X772" s="7"/>
      <c r="Y772" s="7"/>
      <c r="Z772" s="7"/>
      <c r="AA772" s="7"/>
    </row>
    <row r="773">
      <c r="A773" s="242"/>
      <c r="B773" s="242"/>
      <c r="C773" s="177"/>
      <c r="D773" s="177"/>
      <c r="E773" s="177"/>
      <c r="F773" s="177"/>
      <c r="G773" s="177"/>
      <c r="H773" s="148"/>
      <c r="I773" s="7"/>
      <c r="J773" s="7"/>
      <c r="K773" s="7"/>
      <c r="L773" s="7"/>
      <c r="M773" s="7"/>
      <c r="N773" s="7"/>
      <c r="O773" s="7"/>
      <c r="P773" s="7"/>
      <c r="Q773" s="7"/>
      <c r="R773" s="7"/>
      <c r="S773" s="7"/>
      <c r="T773" s="7"/>
      <c r="U773" s="7"/>
      <c r="V773" s="7"/>
      <c r="W773" s="7"/>
      <c r="X773" s="7"/>
      <c r="Y773" s="7"/>
      <c r="Z773" s="7"/>
      <c r="AA773" s="7"/>
    </row>
    <row r="774">
      <c r="A774" s="242"/>
      <c r="B774" s="242"/>
      <c r="C774" s="177"/>
      <c r="D774" s="177"/>
      <c r="E774" s="177"/>
      <c r="F774" s="177"/>
      <c r="G774" s="177"/>
      <c r="H774" s="148"/>
      <c r="I774" s="7"/>
      <c r="J774" s="7"/>
      <c r="K774" s="7"/>
      <c r="L774" s="7"/>
      <c r="M774" s="7"/>
      <c r="N774" s="7"/>
      <c r="O774" s="7"/>
      <c r="P774" s="7"/>
      <c r="Q774" s="7"/>
      <c r="R774" s="7"/>
      <c r="S774" s="7"/>
      <c r="T774" s="7"/>
      <c r="U774" s="7"/>
      <c r="V774" s="7"/>
      <c r="W774" s="7"/>
      <c r="X774" s="7"/>
      <c r="Y774" s="7"/>
      <c r="Z774" s="7"/>
      <c r="AA774" s="7"/>
    </row>
    <row r="775">
      <c r="A775" s="242"/>
      <c r="B775" s="242"/>
      <c r="C775" s="177"/>
      <c r="D775" s="177"/>
      <c r="E775" s="177"/>
      <c r="F775" s="177"/>
      <c r="G775" s="177"/>
      <c r="H775" s="148"/>
      <c r="I775" s="7"/>
      <c r="J775" s="7"/>
      <c r="K775" s="7"/>
      <c r="L775" s="7"/>
      <c r="M775" s="7"/>
      <c r="N775" s="7"/>
      <c r="O775" s="7"/>
      <c r="P775" s="7"/>
      <c r="Q775" s="7"/>
      <c r="R775" s="7"/>
      <c r="S775" s="7"/>
      <c r="T775" s="7"/>
      <c r="U775" s="7"/>
      <c r="V775" s="7"/>
      <c r="W775" s="7"/>
      <c r="X775" s="7"/>
      <c r="Y775" s="7"/>
      <c r="Z775" s="7"/>
      <c r="AA775" s="7"/>
    </row>
    <row r="776">
      <c r="A776" s="242"/>
      <c r="B776" s="242"/>
      <c r="C776" s="177"/>
      <c r="D776" s="177"/>
      <c r="E776" s="177"/>
      <c r="F776" s="177"/>
      <c r="G776" s="177"/>
      <c r="H776" s="148"/>
      <c r="I776" s="7"/>
      <c r="J776" s="7"/>
      <c r="K776" s="7"/>
      <c r="L776" s="7"/>
      <c r="M776" s="7"/>
      <c r="N776" s="7"/>
      <c r="O776" s="7"/>
      <c r="P776" s="7"/>
      <c r="Q776" s="7"/>
      <c r="R776" s="7"/>
      <c r="S776" s="7"/>
      <c r="T776" s="7"/>
      <c r="U776" s="7"/>
      <c r="V776" s="7"/>
      <c r="W776" s="7"/>
      <c r="X776" s="7"/>
      <c r="Y776" s="7"/>
      <c r="Z776" s="7"/>
      <c r="AA776" s="7"/>
    </row>
    <row r="777">
      <c r="A777" s="242"/>
      <c r="B777" s="242"/>
      <c r="C777" s="177"/>
      <c r="D777" s="177"/>
      <c r="E777" s="177"/>
      <c r="F777" s="177"/>
      <c r="G777" s="177"/>
      <c r="H777" s="148"/>
      <c r="I777" s="7"/>
      <c r="J777" s="7"/>
      <c r="K777" s="7"/>
      <c r="L777" s="7"/>
      <c r="M777" s="7"/>
      <c r="N777" s="7"/>
      <c r="O777" s="7"/>
      <c r="P777" s="7"/>
      <c r="Q777" s="7"/>
      <c r="R777" s="7"/>
      <c r="S777" s="7"/>
      <c r="T777" s="7"/>
      <c r="U777" s="7"/>
      <c r="V777" s="7"/>
      <c r="W777" s="7"/>
      <c r="X777" s="7"/>
      <c r="Y777" s="7"/>
      <c r="Z777" s="7"/>
      <c r="AA777" s="7"/>
    </row>
    <row r="778">
      <c r="A778" s="242"/>
      <c r="B778" s="242"/>
      <c r="C778" s="177"/>
      <c r="D778" s="177"/>
      <c r="E778" s="177"/>
      <c r="F778" s="177"/>
      <c r="G778" s="177"/>
      <c r="H778" s="148"/>
      <c r="I778" s="7"/>
      <c r="J778" s="7"/>
      <c r="K778" s="7"/>
      <c r="L778" s="7"/>
      <c r="M778" s="7"/>
      <c r="N778" s="7"/>
      <c r="O778" s="7"/>
      <c r="P778" s="7"/>
      <c r="Q778" s="7"/>
      <c r="R778" s="7"/>
      <c r="S778" s="7"/>
      <c r="T778" s="7"/>
      <c r="U778" s="7"/>
      <c r="V778" s="7"/>
      <c r="W778" s="7"/>
      <c r="X778" s="7"/>
      <c r="Y778" s="7"/>
      <c r="Z778" s="7"/>
      <c r="AA778" s="7"/>
    </row>
    <row r="779">
      <c r="A779" s="242"/>
      <c r="B779" s="242"/>
      <c r="C779" s="177"/>
      <c r="D779" s="177"/>
      <c r="E779" s="177"/>
      <c r="F779" s="177"/>
      <c r="G779" s="177"/>
      <c r="H779" s="148"/>
      <c r="I779" s="7"/>
      <c r="J779" s="7"/>
      <c r="K779" s="7"/>
      <c r="L779" s="7"/>
      <c r="M779" s="7"/>
      <c r="N779" s="7"/>
      <c r="O779" s="7"/>
      <c r="P779" s="7"/>
      <c r="Q779" s="7"/>
      <c r="R779" s="7"/>
      <c r="S779" s="7"/>
      <c r="T779" s="7"/>
      <c r="U779" s="7"/>
      <c r="V779" s="7"/>
      <c r="W779" s="7"/>
      <c r="X779" s="7"/>
      <c r="Y779" s="7"/>
      <c r="Z779" s="7"/>
      <c r="AA779" s="7"/>
    </row>
    <row r="780">
      <c r="A780" s="242"/>
      <c r="B780" s="242"/>
      <c r="C780" s="177"/>
      <c r="D780" s="177"/>
      <c r="E780" s="177"/>
      <c r="F780" s="177"/>
      <c r="G780" s="177"/>
      <c r="H780" s="148"/>
      <c r="I780" s="7"/>
      <c r="J780" s="7"/>
      <c r="K780" s="7"/>
      <c r="L780" s="7"/>
      <c r="M780" s="7"/>
      <c r="N780" s="7"/>
      <c r="O780" s="7"/>
      <c r="P780" s="7"/>
      <c r="Q780" s="7"/>
      <c r="R780" s="7"/>
      <c r="S780" s="7"/>
      <c r="T780" s="7"/>
      <c r="U780" s="7"/>
      <c r="V780" s="7"/>
      <c r="W780" s="7"/>
      <c r="X780" s="7"/>
      <c r="Y780" s="7"/>
      <c r="Z780" s="7"/>
      <c r="AA780" s="7"/>
    </row>
    <row r="781">
      <c r="A781" s="242"/>
      <c r="B781" s="242"/>
      <c r="C781" s="177"/>
      <c r="D781" s="177"/>
      <c r="E781" s="177"/>
      <c r="F781" s="177"/>
      <c r="G781" s="177"/>
      <c r="H781" s="148"/>
      <c r="I781" s="7"/>
      <c r="J781" s="7"/>
      <c r="K781" s="7"/>
      <c r="L781" s="7"/>
      <c r="M781" s="7"/>
      <c r="N781" s="7"/>
      <c r="O781" s="7"/>
      <c r="P781" s="7"/>
      <c r="Q781" s="7"/>
      <c r="R781" s="7"/>
      <c r="S781" s="7"/>
      <c r="T781" s="7"/>
      <c r="U781" s="7"/>
      <c r="V781" s="7"/>
      <c r="W781" s="7"/>
      <c r="X781" s="7"/>
      <c r="Y781" s="7"/>
      <c r="Z781" s="7"/>
      <c r="AA781" s="7"/>
    </row>
    <row r="782">
      <c r="A782" s="242"/>
      <c r="B782" s="242"/>
      <c r="C782" s="177"/>
      <c r="D782" s="177"/>
      <c r="E782" s="177"/>
      <c r="F782" s="177"/>
      <c r="G782" s="177"/>
      <c r="H782" s="148"/>
      <c r="I782" s="7"/>
      <c r="J782" s="7"/>
      <c r="K782" s="7"/>
      <c r="L782" s="7"/>
      <c r="M782" s="7"/>
      <c r="N782" s="7"/>
      <c r="O782" s="7"/>
      <c r="P782" s="7"/>
      <c r="Q782" s="7"/>
      <c r="R782" s="7"/>
      <c r="S782" s="7"/>
      <c r="T782" s="7"/>
      <c r="U782" s="7"/>
      <c r="V782" s="7"/>
      <c r="W782" s="7"/>
      <c r="X782" s="7"/>
      <c r="Y782" s="7"/>
      <c r="Z782" s="7"/>
      <c r="AA782" s="7"/>
    </row>
    <row r="783">
      <c r="A783" s="242"/>
      <c r="B783" s="242"/>
      <c r="C783" s="177"/>
      <c r="D783" s="177"/>
      <c r="E783" s="177"/>
      <c r="F783" s="177"/>
      <c r="G783" s="177"/>
      <c r="H783" s="148"/>
      <c r="I783" s="7"/>
      <c r="J783" s="7"/>
      <c r="K783" s="7"/>
      <c r="L783" s="7"/>
      <c r="M783" s="7"/>
      <c r="N783" s="7"/>
      <c r="O783" s="7"/>
      <c r="P783" s="7"/>
      <c r="Q783" s="7"/>
      <c r="R783" s="7"/>
      <c r="S783" s="7"/>
      <c r="T783" s="7"/>
      <c r="U783" s="7"/>
      <c r="V783" s="7"/>
      <c r="W783" s="7"/>
      <c r="X783" s="7"/>
      <c r="Y783" s="7"/>
      <c r="Z783" s="7"/>
      <c r="AA783" s="7"/>
    </row>
    <row r="784">
      <c r="A784" s="242"/>
      <c r="B784" s="242"/>
      <c r="C784" s="177"/>
      <c r="D784" s="177"/>
      <c r="E784" s="177"/>
      <c r="F784" s="177"/>
      <c r="G784" s="177"/>
      <c r="H784" s="148"/>
      <c r="I784" s="7"/>
      <c r="J784" s="7"/>
      <c r="K784" s="7"/>
      <c r="L784" s="7"/>
      <c r="M784" s="7"/>
      <c r="N784" s="7"/>
      <c r="O784" s="7"/>
      <c r="P784" s="7"/>
      <c r="Q784" s="7"/>
      <c r="R784" s="7"/>
      <c r="S784" s="7"/>
      <c r="T784" s="7"/>
      <c r="U784" s="7"/>
      <c r="V784" s="7"/>
      <c r="W784" s="7"/>
      <c r="X784" s="7"/>
      <c r="Y784" s="7"/>
      <c r="Z784" s="7"/>
      <c r="AA784" s="7"/>
    </row>
    <row r="785">
      <c r="A785" s="242"/>
      <c r="B785" s="242"/>
      <c r="C785" s="177"/>
      <c r="D785" s="177"/>
      <c r="E785" s="177"/>
      <c r="F785" s="177"/>
      <c r="G785" s="177"/>
      <c r="H785" s="148"/>
      <c r="I785" s="7"/>
      <c r="J785" s="7"/>
      <c r="K785" s="7"/>
      <c r="L785" s="7"/>
      <c r="M785" s="7"/>
      <c r="N785" s="7"/>
      <c r="O785" s="7"/>
      <c r="P785" s="7"/>
      <c r="Q785" s="7"/>
      <c r="R785" s="7"/>
      <c r="S785" s="7"/>
      <c r="T785" s="7"/>
      <c r="U785" s="7"/>
      <c r="V785" s="7"/>
      <c r="W785" s="7"/>
      <c r="X785" s="7"/>
      <c r="Y785" s="7"/>
      <c r="Z785" s="7"/>
      <c r="AA785" s="7"/>
    </row>
    <row r="786">
      <c r="A786" s="242"/>
      <c r="B786" s="242"/>
      <c r="C786" s="177"/>
      <c r="D786" s="177"/>
      <c r="E786" s="177"/>
      <c r="F786" s="177"/>
      <c r="G786" s="177"/>
      <c r="H786" s="148"/>
      <c r="I786" s="7"/>
      <c r="J786" s="7"/>
      <c r="K786" s="7"/>
      <c r="L786" s="7"/>
      <c r="M786" s="7"/>
      <c r="N786" s="7"/>
      <c r="O786" s="7"/>
      <c r="P786" s="7"/>
      <c r="Q786" s="7"/>
      <c r="R786" s="7"/>
      <c r="S786" s="7"/>
      <c r="T786" s="7"/>
      <c r="U786" s="7"/>
      <c r="V786" s="7"/>
      <c r="W786" s="7"/>
      <c r="X786" s="7"/>
      <c r="Y786" s="7"/>
      <c r="Z786" s="7"/>
      <c r="AA786" s="7"/>
    </row>
    <row r="787">
      <c r="A787" s="242"/>
      <c r="B787" s="242"/>
      <c r="C787" s="177"/>
      <c r="D787" s="177"/>
      <c r="E787" s="177"/>
      <c r="F787" s="177"/>
      <c r="G787" s="177"/>
      <c r="H787" s="148"/>
      <c r="I787" s="7"/>
      <c r="J787" s="7"/>
      <c r="K787" s="7"/>
      <c r="L787" s="7"/>
      <c r="M787" s="7"/>
      <c r="N787" s="7"/>
      <c r="O787" s="7"/>
      <c r="P787" s="7"/>
      <c r="Q787" s="7"/>
      <c r="R787" s="7"/>
      <c r="S787" s="7"/>
      <c r="T787" s="7"/>
      <c r="U787" s="7"/>
      <c r="V787" s="7"/>
      <c r="W787" s="7"/>
      <c r="X787" s="7"/>
      <c r="Y787" s="7"/>
      <c r="Z787" s="7"/>
      <c r="AA787" s="7"/>
    </row>
    <row r="788">
      <c r="A788" s="242"/>
      <c r="B788" s="242"/>
      <c r="C788" s="177"/>
      <c r="D788" s="177"/>
      <c r="E788" s="177"/>
      <c r="F788" s="177"/>
      <c r="G788" s="177"/>
      <c r="H788" s="148"/>
      <c r="I788" s="7"/>
      <c r="J788" s="7"/>
      <c r="K788" s="7"/>
      <c r="L788" s="7"/>
      <c r="M788" s="7"/>
      <c r="N788" s="7"/>
      <c r="O788" s="7"/>
      <c r="P788" s="7"/>
      <c r="Q788" s="7"/>
      <c r="R788" s="7"/>
      <c r="S788" s="7"/>
      <c r="T788" s="7"/>
      <c r="U788" s="7"/>
      <c r="V788" s="7"/>
      <c r="W788" s="7"/>
      <c r="X788" s="7"/>
      <c r="Y788" s="7"/>
      <c r="Z788" s="7"/>
      <c r="AA788" s="7"/>
    </row>
    <row r="789">
      <c r="A789" s="242"/>
      <c r="B789" s="242"/>
      <c r="C789" s="177"/>
      <c r="D789" s="177"/>
      <c r="E789" s="177"/>
      <c r="F789" s="177"/>
      <c r="G789" s="177"/>
      <c r="H789" s="148"/>
      <c r="I789" s="7"/>
      <c r="J789" s="7"/>
      <c r="K789" s="7"/>
      <c r="L789" s="7"/>
      <c r="M789" s="7"/>
      <c r="N789" s="7"/>
      <c r="O789" s="7"/>
      <c r="P789" s="7"/>
      <c r="Q789" s="7"/>
      <c r="R789" s="7"/>
      <c r="S789" s="7"/>
      <c r="T789" s="7"/>
      <c r="U789" s="7"/>
      <c r="V789" s="7"/>
      <c r="W789" s="7"/>
      <c r="X789" s="7"/>
      <c r="Y789" s="7"/>
      <c r="Z789" s="7"/>
      <c r="AA789" s="7"/>
    </row>
    <row r="790">
      <c r="A790" s="242"/>
      <c r="B790" s="242"/>
      <c r="C790" s="177"/>
      <c r="D790" s="177"/>
      <c r="E790" s="177"/>
      <c r="F790" s="177"/>
      <c r="G790" s="177"/>
      <c r="H790" s="148"/>
      <c r="I790" s="7"/>
      <c r="J790" s="7"/>
      <c r="K790" s="7"/>
      <c r="L790" s="7"/>
      <c r="M790" s="7"/>
      <c r="N790" s="7"/>
      <c r="O790" s="7"/>
      <c r="P790" s="7"/>
      <c r="Q790" s="7"/>
      <c r="R790" s="7"/>
      <c r="S790" s="7"/>
      <c r="T790" s="7"/>
      <c r="U790" s="7"/>
      <c r="V790" s="7"/>
      <c r="W790" s="7"/>
      <c r="X790" s="7"/>
      <c r="Y790" s="7"/>
      <c r="Z790" s="7"/>
      <c r="AA790" s="7"/>
    </row>
    <row r="791">
      <c r="A791" s="242"/>
      <c r="B791" s="242"/>
      <c r="C791" s="177"/>
      <c r="D791" s="177"/>
      <c r="E791" s="177"/>
      <c r="F791" s="177"/>
      <c r="G791" s="177"/>
      <c r="H791" s="148"/>
      <c r="I791" s="7"/>
      <c r="J791" s="7"/>
      <c r="K791" s="7"/>
      <c r="L791" s="7"/>
      <c r="M791" s="7"/>
      <c r="N791" s="7"/>
      <c r="O791" s="7"/>
      <c r="P791" s="7"/>
      <c r="Q791" s="7"/>
      <c r="R791" s="7"/>
      <c r="S791" s="7"/>
      <c r="T791" s="7"/>
      <c r="U791" s="7"/>
      <c r="V791" s="7"/>
      <c r="W791" s="7"/>
      <c r="X791" s="7"/>
      <c r="Y791" s="7"/>
      <c r="Z791" s="7"/>
      <c r="AA791" s="7"/>
    </row>
    <row r="792">
      <c r="A792" s="242"/>
      <c r="B792" s="242"/>
      <c r="C792" s="177"/>
      <c r="D792" s="177"/>
      <c r="E792" s="177"/>
      <c r="F792" s="177"/>
      <c r="G792" s="177"/>
      <c r="H792" s="148"/>
      <c r="I792" s="7"/>
      <c r="J792" s="7"/>
      <c r="K792" s="7"/>
      <c r="L792" s="7"/>
      <c r="M792" s="7"/>
      <c r="N792" s="7"/>
      <c r="O792" s="7"/>
      <c r="P792" s="7"/>
      <c r="Q792" s="7"/>
      <c r="R792" s="7"/>
      <c r="S792" s="7"/>
      <c r="T792" s="7"/>
      <c r="U792" s="7"/>
      <c r="V792" s="7"/>
      <c r="W792" s="7"/>
      <c r="X792" s="7"/>
      <c r="Y792" s="7"/>
      <c r="Z792" s="7"/>
      <c r="AA792" s="7"/>
    </row>
    <row r="793">
      <c r="A793" s="242"/>
      <c r="B793" s="242"/>
      <c r="C793" s="177"/>
      <c r="D793" s="177"/>
      <c r="E793" s="177"/>
      <c r="F793" s="177"/>
      <c r="G793" s="177"/>
      <c r="H793" s="148"/>
      <c r="I793" s="7"/>
      <c r="J793" s="7"/>
      <c r="K793" s="7"/>
      <c r="L793" s="7"/>
      <c r="M793" s="7"/>
      <c r="N793" s="7"/>
      <c r="O793" s="7"/>
      <c r="P793" s="7"/>
      <c r="Q793" s="7"/>
      <c r="R793" s="7"/>
      <c r="S793" s="7"/>
      <c r="T793" s="7"/>
      <c r="U793" s="7"/>
      <c r="V793" s="7"/>
      <c r="W793" s="7"/>
      <c r="X793" s="7"/>
      <c r="Y793" s="7"/>
      <c r="Z793" s="7"/>
      <c r="AA793" s="7"/>
    </row>
    <row r="794">
      <c r="A794" s="242"/>
      <c r="B794" s="242"/>
      <c r="C794" s="177"/>
      <c r="D794" s="177"/>
      <c r="E794" s="177"/>
      <c r="F794" s="177"/>
      <c r="G794" s="177"/>
      <c r="H794" s="148"/>
      <c r="I794" s="7"/>
      <c r="J794" s="7"/>
      <c r="K794" s="7"/>
      <c r="L794" s="7"/>
      <c r="M794" s="7"/>
      <c r="N794" s="7"/>
      <c r="O794" s="7"/>
      <c r="P794" s="7"/>
      <c r="Q794" s="7"/>
      <c r="R794" s="7"/>
      <c r="S794" s="7"/>
      <c r="T794" s="7"/>
      <c r="U794" s="7"/>
      <c r="V794" s="7"/>
      <c r="W794" s="7"/>
      <c r="X794" s="7"/>
      <c r="Y794" s="7"/>
      <c r="Z794" s="7"/>
      <c r="AA794" s="7"/>
    </row>
    <row r="795">
      <c r="A795" s="242"/>
      <c r="B795" s="242"/>
      <c r="C795" s="177"/>
      <c r="D795" s="177"/>
      <c r="E795" s="177"/>
      <c r="F795" s="177"/>
      <c r="G795" s="177"/>
      <c r="H795" s="148"/>
      <c r="I795" s="7"/>
      <c r="J795" s="7"/>
      <c r="K795" s="7"/>
      <c r="L795" s="7"/>
      <c r="M795" s="7"/>
      <c r="N795" s="7"/>
      <c r="O795" s="7"/>
      <c r="P795" s="7"/>
      <c r="Q795" s="7"/>
      <c r="R795" s="7"/>
      <c r="S795" s="7"/>
      <c r="T795" s="7"/>
      <c r="U795" s="7"/>
      <c r="V795" s="7"/>
      <c r="W795" s="7"/>
      <c r="X795" s="7"/>
      <c r="Y795" s="7"/>
      <c r="Z795" s="7"/>
      <c r="AA795" s="7"/>
    </row>
    <row r="796">
      <c r="A796" s="242"/>
      <c r="B796" s="242"/>
      <c r="C796" s="177"/>
      <c r="D796" s="177"/>
      <c r="E796" s="177"/>
      <c r="F796" s="177"/>
      <c r="G796" s="177"/>
      <c r="H796" s="148"/>
      <c r="I796" s="7"/>
      <c r="J796" s="7"/>
      <c r="K796" s="7"/>
      <c r="L796" s="7"/>
      <c r="M796" s="7"/>
      <c r="N796" s="7"/>
      <c r="O796" s="7"/>
      <c r="P796" s="7"/>
      <c r="Q796" s="7"/>
      <c r="R796" s="7"/>
      <c r="S796" s="7"/>
      <c r="T796" s="7"/>
      <c r="U796" s="7"/>
      <c r="V796" s="7"/>
      <c r="W796" s="7"/>
      <c r="X796" s="7"/>
      <c r="Y796" s="7"/>
      <c r="Z796" s="7"/>
      <c r="AA796" s="7"/>
    </row>
    <row r="797">
      <c r="A797" s="242"/>
      <c r="B797" s="242"/>
      <c r="C797" s="177"/>
      <c r="D797" s="177"/>
      <c r="E797" s="177"/>
      <c r="F797" s="177"/>
      <c r="G797" s="177"/>
      <c r="H797" s="148"/>
      <c r="I797" s="7"/>
      <c r="J797" s="7"/>
      <c r="K797" s="7"/>
      <c r="L797" s="7"/>
      <c r="M797" s="7"/>
      <c r="N797" s="7"/>
      <c r="O797" s="7"/>
      <c r="P797" s="7"/>
      <c r="Q797" s="7"/>
      <c r="R797" s="7"/>
      <c r="S797" s="7"/>
      <c r="T797" s="7"/>
      <c r="U797" s="7"/>
      <c r="V797" s="7"/>
      <c r="W797" s="7"/>
      <c r="X797" s="7"/>
      <c r="Y797" s="7"/>
      <c r="Z797" s="7"/>
      <c r="AA797" s="7"/>
    </row>
    <row r="798">
      <c r="A798" s="242"/>
      <c r="B798" s="242"/>
      <c r="C798" s="177"/>
      <c r="D798" s="177"/>
      <c r="E798" s="177"/>
      <c r="F798" s="177"/>
      <c r="G798" s="177"/>
      <c r="H798" s="148"/>
      <c r="I798" s="7"/>
      <c r="J798" s="7"/>
      <c r="K798" s="7"/>
      <c r="L798" s="7"/>
      <c r="M798" s="7"/>
      <c r="N798" s="7"/>
      <c r="O798" s="7"/>
      <c r="P798" s="7"/>
      <c r="Q798" s="7"/>
      <c r="R798" s="7"/>
      <c r="S798" s="7"/>
      <c r="T798" s="7"/>
      <c r="U798" s="7"/>
      <c r="V798" s="7"/>
      <c r="W798" s="7"/>
      <c r="X798" s="7"/>
      <c r="Y798" s="7"/>
      <c r="Z798" s="7"/>
      <c r="AA798" s="7"/>
    </row>
    <row r="799">
      <c r="A799" s="242"/>
      <c r="B799" s="242"/>
      <c r="C799" s="177"/>
      <c r="D799" s="177"/>
      <c r="E799" s="177"/>
      <c r="F799" s="177"/>
      <c r="G799" s="177"/>
      <c r="H799" s="148"/>
      <c r="I799" s="7"/>
      <c r="J799" s="7"/>
      <c r="K799" s="7"/>
      <c r="L799" s="7"/>
      <c r="M799" s="7"/>
      <c r="N799" s="7"/>
      <c r="O799" s="7"/>
      <c r="P799" s="7"/>
      <c r="Q799" s="7"/>
      <c r="R799" s="7"/>
      <c r="S799" s="7"/>
      <c r="T799" s="7"/>
      <c r="U799" s="7"/>
      <c r="V799" s="7"/>
      <c r="W799" s="7"/>
      <c r="X799" s="7"/>
      <c r="Y799" s="7"/>
      <c r="Z799" s="7"/>
      <c r="AA799" s="7"/>
    </row>
    <row r="800">
      <c r="A800" s="242"/>
      <c r="B800" s="242"/>
      <c r="C800" s="177"/>
      <c r="D800" s="177"/>
      <c r="E800" s="177"/>
      <c r="F800" s="177"/>
      <c r="G800" s="177"/>
      <c r="H800" s="148"/>
      <c r="I800" s="7"/>
      <c r="J800" s="7"/>
      <c r="K800" s="7"/>
      <c r="L800" s="7"/>
      <c r="M800" s="7"/>
      <c r="N800" s="7"/>
      <c r="O800" s="7"/>
      <c r="P800" s="7"/>
      <c r="Q800" s="7"/>
      <c r="R800" s="7"/>
      <c r="S800" s="7"/>
      <c r="T800" s="7"/>
      <c r="U800" s="7"/>
      <c r="V800" s="7"/>
      <c r="W800" s="7"/>
      <c r="X800" s="7"/>
      <c r="Y800" s="7"/>
      <c r="Z800" s="7"/>
      <c r="AA800" s="7"/>
    </row>
    <row r="801">
      <c r="A801" s="242"/>
      <c r="B801" s="242"/>
      <c r="C801" s="177"/>
      <c r="D801" s="177"/>
      <c r="E801" s="177"/>
      <c r="F801" s="177"/>
      <c r="G801" s="177"/>
      <c r="H801" s="148"/>
      <c r="I801" s="7"/>
      <c r="J801" s="7"/>
      <c r="K801" s="7"/>
      <c r="L801" s="7"/>
      <c r="M801" s="7"/>
      <c r="N801" s="7"/>
      <c r="O801" s="7"/>
      <c r="P801" s="7"/>
      <c r="Q801" s="7"/>
      <c r="R801" s="7"/>
      <c r="S801" s="7"/>
      <c r="T801" s="7"/>
      <c r="U801" s="7"/>
      <c r="V801" s="7"/>
      <c r="W801" s="7"/>
      <c r="X801" s="7"/>
      <c r="Y801" s="7"/>
      <c r="Z801" s="7"/>
      <c r="AA801" s="7"/>
    </row>
    <row r="802">
      <c r="A802" s="242"/>
      <c r="B802" s="242"/>
      <c r="C802" s="177"/>
      <c r="D802" s="177"/>
      <c r="E802" s="177"/>
      <c r="F802" s="177"/>
      <c r="G802" s="177"/>
      <c r="H802" s="148"/>
      <c r="I802" s="7"/>
      <c r="J802" s="7"/>
      <c r="K802" s="7"/>
      <c r="L802" s="7"/>
      <c r="M802" s="7"/>
      <c r="N802" s="7"/>
      <c r="O802" s="7"/>
      <c r="P802" s="7"/>
      <c r="Q802" s="7"/>
      <c r="R802" s="7"/>
      <c r="S802" s="7"/>
      <c r="T802" s="7"/>
      <c r="U802" s="7"/>
      <c r="V802" s="7"/>
      <c r="W802" s="7"/>
      <c r="X802" s="7"/>
      <c r="Y802" s="7"/>
      <c r="Z802" s="7"/>
      <c r="AA802" s="7"/>
    </row>
    <row r="803">
      <c r="A803" s="242"/>
      <c r="B803" s="242"/>
      <c r="C803" s="177"/>
      <c r="D803" s="177"/>
      <c r="E803" s="177"/>
      <c r="F803" s="177"/>
      <c r="G803" s="177"/>
      <c r="H803" s="148"/>
      <c r="I803" s="7"/>
      <c r="J803" s="7"/>
      <c r="K803" s="7"/>
      <c r="L803" s="7"/>
      <c r="M803" s="7"/>
      <c r="N803" s="7"/>
      <c r="O803" s="7"/>
      <c r="P803" s="7"/>
      <c r="Q803" s="7"/>
      <c r="R803" s="7"/>
      <c r="S803" s="7"/>
      <c r="T803" s="7"/>
      <c r="U803" s="7"/>
      <c r="V803" s="7"/>
      <c r="W803" s="7"/>
      <c r="X803" s="7"/>
      <c r="Y803" s="7"/>
      <c r="Z803" s="7"/>
      <c r="AA803" s="7"/>
    </row>
    <row r="804">
      <c r="A804" s="242"/>
      <c r="B804" s="242"/>
      <c r="C804" s="177"/>
      <c r="D804" s="177"/>
      <c r="E804" s="177"/>
      <c r="F804" s="177"/>
      <c r="G804" s="177"/>
      <c r="H804" s="148"/>
      <c r="I804" s="7"/>
      <c r="J804" s="7"/>
      <c r="K804" s="7"/>
      <c r="L804" s="7"/>
      <c r="M804" s="7"/>
      <c r="N804" s="7"/>
      <c r="O804" s="7"/>
      <c r="P804" s="7"/>
      <c r="Q804" s="7"/>
      <c r="R804" s="7"/>
      <c r="S804" s="7"/>
      <c r="T804" s="7"/>
      <c r="U804" s="7"/>
      <c r="V804" s="7"/>
      <c r="W804" s="7"/>
      <c r="X804" s="7"/>
      <c r="Y804" s="7"/>
      <c r="Z804" s="7"/>
      <c r="AA804" s="7"/>
    </row>
    <row r="805">
      <c r="A805" s="242"/>
      <c r="B805" s="242"/>
      <c r="C805" s="177"/>
      <c r="D805" s="177"/>
      <c r="E805" s="177"/>
      <c r="F805" s="177"/>
      <c r="G805" s="177"/>
      <c r="H805" s="148"/>
      <c r="I805" s="7"/>
      <c r="J805" s="7"/>
      <c r="K805" s="7"/>
      <c r="L805" s="7"/>
      <c r="M805" s="7"/>
      <c r="N805" s="7"/>
      <c r="O805" s="7"/>
      <c r="P805" s="7"/>
      <c r="Q805" s="7"/>
      <c r="R805" s="7"/>
      <c r="S805" s="7"/>
      <c r="T805" s="7"/>
      <c r="U805" s="7"/>
      <c r="V805" s="7"/>
      <c r="W805" s="7"/>
      <c r="X805" s="7"/>
      <c r="Y805" s="7"/>
      <c r="Z805" s="7"/>
      <c r="AA805" s="7"/>
    </row>
    <row r="806">
      <c r="A806" s="242"/>
      <c r="B806" s="242"/>
      <c r="C806" s="177"/>
      <c r="D806" s="177"/>
      <c r="E806" s="177"/>
      <c r="F806" s="177"/>
      <c r="G806" s="177"/>
      <c r="H806" s="148"/>
      <c r="I806" s="7"/>
      <c r="J806" s="7"/>
      <c r="K806" s="7"/>
      <c r="L806" s="7"/>
      <c r="M806" s="7"/>
      <c r="N806" s="7"/>
      <c r="O806" s="7"/>
      <c r="P806" s="7"/>
      <c r="Q806" s="7"/>
      <c r="R806" s="7"/>
      <c r="S806" s="7"/>
      <c r="T806" s="7"/>
      <c r="U806" s="7"/>
      <c r="V806" s="7"/>
      <c r="W806" s="7"/>
      <c r="X806" s="7"/>
      <c r="Y806" s="7"/>
      <c r="Z806" s="7"/>
      <c r="AA806" s="7"/>
    </row>
    <row r="807">
      <c r="A807" s="242"/>
      <c r="B807" s="242"/>
      <c r="C807" s="177"/>
      <c r="D807" s="177"/>
      <c r="E807" s="177"/>
      <c r="F807" s="177"/>
      <c r="G807" s="177"/>
      <c r="H807" s="148"/>
      <c r="I807" s="7"/>
      <c r="J807" s="7"/>
      <c r="K807" s="7"/>
      <c r="L807" s="7"/>
      <c r="M807" s="7"/>
      <c r="N807" s="7"/>
      <c r="O807" s="7"/>
      <c r="P807" s="7"/>
      <c r="Q807" s="7"/>
      <c r="R807" s="7"/>
      <c r="S807" s="7"/>
      <c r="T807" s="7"/>
      <c r="U807" s="7"/>
      <c r="V807" s="7"/>
      <c r="W807" s="7"/>
      <c r="X807" s="7"/>
      <c r="Y807" s="7"/>
      <c r="Z807" s="7"/>
      <c r="AA807" s="7"/>
    </row>
    <row r="808">
      <c r="A808" s="242"/>
      <c r="B808" s="242"/>
      <c r="C808" s="177"/>
      <c r="D808" s="177"/>
      <c r="E808" s="177"/>
      <c r="F808" s="177"/>
      <c r="G808" s="177"/>
      <c r="H808" s="148"/>
      <c r="I808" s="7"/>
      <c r="J808" s="7"/>
      <c r="K808" s="7"/>
      <c r="L808" s="7"/>
      <c r="M808" s="7"/>
      <c r="N808" s="7"/>
      <c r="O808" s="7"/>
      <c r="P808" s="7"/>
      <c r="Q808" s="7"/>
      <c r="R808" s="7"/>
      <c r="S808" s="7"/>
      <c r="T808" s="7"/>
      <c r="U808" s="7"/>
      <c r="V808" s="7"/>
      <c r="W808" s="7"/>
      <c r="X808" s="7"/>
      <c r="Y808" s="7"/>
      <c r="Z808" s="7"/>
      <c r="AA808" s="7"/>
    </row>
    <row r="809">
      <c r="A809" s="242"/>
      <c r="B809" s="242"/>
      <c r="C809" s="177"/>
      <c r="D809" s="177"/>
      <c r="E809" s="177"/>
      <c r="F809" s="177"/>
      <c r="G809" s="177"/>
      <c r="H809" s="148"/>
      <c r="I809" s="7"/>
      <c r="J809" s="7"/>
      <c r="K809" s="7"/>
      <c r="L809" s="7"/>
      <c r="M809" s="7"/>
      <c r="N809" s="7"/>
      <c r="O809" s="7"/>
      <c r="P809" s="7"/>
      <c r="Q809" s="7"/>
      <c r="R809" s="7"/>
      <c r="S809" s="7"/>
      <c r="T809" s="7"/>
      <c r="U809" s="7"/>
      <c r="V809" s="7"/>
      <c r="W809" s="7"/>
      <c r="X809" s="7"/>
      <c r="Y809" s="7"/>
      <c r="Z809" s="7"/>
      <c r="AA809" s="7"/>
    </row>
    <row r="810">
      <c r="A810" s="242"/>
      <c r="B810" s="242"/>
      <c r="C810" s="177"/>
      <c r="D810" s="177"/>
      <c r="E810" s="177"/>
      <c r="F810" s="177"/>
      <c r="G810" s="177"/>
      <c r="H810" s="148"/>
      <c r="I810" s="7"/>
      <c r="J810" s="7"/>
      <c r="K810" s="7"/>
      <c r="L810" s="7"/>
      <c r="M810" s="7"/>
      <c r="N810" s="7"/>
      <c r="O810" s="7"/>
      <c r="P810" s="7"/>
      <c r="Q810" s="7"/>
      <c r="R810" s="7"/>
      <c r="S810" s="7"/>
      <c r="T810" s="7"/>
      <c r="U810" s="7"/>
      <c r="V810" s="7"/>
      <c r="W810" s="7"/>
      <c r="X810" s="7"/>
      <c r="Y810" s="7"/>
      <c r="Z810" s="7"/>
      <c r="AA810" s="7"/>
    </row>
    <row r="811">
      <c r="A811" s="242"/>
      <c r="B811" s="242"/>
      <c r="C811" s="177"/>
      <c r="D811" s="177"/>
      <c r="E811" s="177"/>
      <c r="F811" s="177"/>
      <c r="G811" s="177"/>
      <c r="H811" s="148"/>
      <c r="I811" s="7"/>
      <c r="J811" s="7"/>
      <c r="K811" s="7"/>
      <c r="L811" s="7"/>
      <c r="M811" s="7"/>
      <c r="N811" s="7"/>
      <c r="O811" s="7"/>
      <c r="P811" s="7"/>
      <c r="Q811" s="7"/>
      <c r="R811" s="7"/>
      <c r="S811" s="7"/>
      <c r="T811" s="7"/>
      <c r="U811" s="7"/>
      <c r="V811" s="7"/>
      <c r="W811" s="7"/>
      <c r="X811" s="7"/>
      <c r="Y811" s="7"/>
      <c r="Z811" s="7"/>
      <c r="AA811" s="7"/>
    </row>
    <row r="812">
      <c r="A812" s="242"/>
      <c r="B812" s="242"/>
      <c r="C812" s="177"/>
      <c r="D812" s="177"/>
      <c r="E812" s="177"/>
      <c r="F812" s="177"/>
      <c r="G812" s="177"/>
      <c r="H812" s="148"/>
      <c r="I812" s="7"/>
      <c r="J812" s="7"/>
      <c r="K812" s="7"/>
      <c r="L812" s="7"/>
      <c r="M812" s="7"/>
      <c r="N812" s="7"/>
      <c r="O812" s="7"/>
      <c r="P812" s="7"/>
      <c r="Q812" s="7"/>
      <c r="R812" s="7"/>
      <c r="S812" s="7"/>
      <c r="T812" s="7"/>
      <c r="U812" s="7"/>
      <c r="V812" s="7"/>
      <c r="W812" s="7"/>
      <c r="X812" s="7"/>
      <c r="Y812" s="7"/>
      <c r="Z812" s="7"/>
      <c r="AA812" s="7"/>
    </row>
    <row r="813">
      <c r="A813" s="242"/>
      <c r="B813" s="242"/>
      <c r="C813" s="177"/>
      <c r="D813" s="177"/>
      <c r="E813" s="177"/>
      <c r="F813" s="177"/>
      <c r="G813" s="177"/>
      <c r="H813" s="148"/>
      <c r="I813" s="7"/>
      <c r="J813" s="7"/>
      <c r="K813" s="7"/>
      <c r="L813" s="7"/>
      <c r="M813" s="7"/>
      <c r="N813" s="7"/>
      <c r="O813" s="7"/>
      <c r="P813" s="7"/>
      <c r="Q813" s="7"/>
      <c r="R813" s="7"/>
      <c r="S813" s="7"/>
      <c r="T813" s="7"/>
      <c r="U813" s="7"/>
      <c r="V813" s="7"/>
      <c r="W813" s="7"/>
      <c r="X813" s="7"/>
      <c r="Y813" s="7"/>
      <c r="Z813" s="7"/>
      <c r="AA813" s="7"/>
    </row>
    <row r="814">
      <c r="A814" s="242"/>
      <c r="B814" s="242"/>
      <c r="C814" s="177"/>
      <c r="D814" s="177"/>
      <c r="E814" s="177"/>
      <c r="F814" s="177"/>
      <c r="G814" s="177"/>
      <c r="H814" s="148"/>
      <c r="I814" s="7"/>
      <c r="J814" s="7"/>
      <c r="K814" s="7"/>
      <c r="L814" s="7"/>
      <c r="M814" s="7"/>
      <c r="N814" s="7"/>
      <c r="O814" s="7"/>
      <c r="P814" s="7"/>
      <c r="Q814" s="7"/>
      <c r="R814" s="7"/>
      <c r="S814" s="7"/>
      <c r="T814" s="7"/>
      <c r="U814" s="7"/>
      <c r="V814" s="7"/>
      <c r="W814" s="7"/>
      <c r="X814" s="7"/>
      <c r="Y814" s="7"/>
      <c r="Z814" s="7"/>
      <c r="AA814" s="7"/>
    </row>
    <row r="815">
      <c r="A815" s="242"/>
      <c r="B815" s="242"/>
      <c r="C815" s="177"/>
      <c r="D815" s="177"/>
      <c r="E815" s="177"/>
      <c r="F815" s="177"/>
      <c r="G815" s="177"/>
      <c r="H815" s="148"/>
      <c r="I815" s="7"/>
      <c r="J815" s="7"/>
      <c r="K815" s="7"/>
      <c r="L815" s="7"/>
      <c r="M815" s="7"/>
      <c r="N815" s="7"/>
      <c r="O815" s="7"/>
      <c r="P815" s="7"/>
      <c r="Q815" s="7"/>
      <c r="R815" s="7"/>
      <c r="S815" s="7"/>
      <c r="T815" s="7"/>
      <c r="U815" s="7"/>
      <c r="V815" s="7"/>
      <c r="W815" s="7"/>
      <c r="X815" s="7"/>
      <c r="Y815" s="7"/>
      <c r="Z815" s="7"/>
      <c r="AA815" s="7"/>
    </row>
    <row r="816">
      <c r="A816" s="242"/>
      <c r="B816" s="242"/>
      <c r="C816" s="177"/>
      <c r="D816" s="177"/>
      <c r="E816" s="177"/>
      <c r="F816" s="177"/>
      <c r="G816" s="177"/>
      <c r="H816" s="148"/>
      <c r="I816" s="7"/>
      <c r="J816" s="7"/>
      <c r="K816" s="7"/>
      <c r="L816" s="7"/>
      <c r="M816" s="7"/>
      <c r="N816" s="7"/>
      <c r="O816" s="7"/>
      <c r="P816" s="7"/>
      <c r="Q816" s="7"/>
      <c r="R816" s="7"/>
      <c r="S816" s="7"/>
      <c r="T816" s="7"/>
      <c r="U816" s="7"/>
      <c r="V816" s="7"/>
      <c r="W816" s="7"/>
      <c r="X816" s="7"/>
      <c r="Y816" s="7"/>
      <c r="Z816" s="7"/>
      <c r="AA816" s="7"/>
    </row>
    <row r="817">
      <c r="A817" s="242"/>
      <c r="B817" s="242"/>
      <c r="C817" s="177"/>
      <c r="D817" s="177"/>
      <c r="E817" s="177"/>
      <c r="F817" s="177"/>
      <c r="G817" s="177"/>
      <c r="H817" s="148"/>
      <c r="I817" s="7"/>
      <c r="J817" s="7"/>
      <c r="K817" s="7"/>
      <c r="L817" s="7"/>
      <c r="M817" s="7"/>
      <c r="N817" s="7"/>
      <c r="O817" s="7"/>
      <c r="P817" s="7"/>
      <c r="Q817" s="7"/>
      <c r="R817" s="7"/>
      <c r="S817" s="7"/>
      <c r="T817" s="7"/>
      <c r="U817" s="7"/>
      <c r="V817" s="7"/>
      <c r="W817" s="7"/>
      <c r="X817" s="7"/>
      <c r="Y817" s="7"/>
      <c r="Z817" s="7"/>
      <c r="AA817" s="7"/>
    </row>
    <row r="818">
      <c r="A818" s="242"/>
      <c r="B818" s="242"/>
      <c r="C818" s="177"/>
      <c r="D818" s="177"/>
      <c r="E818" s="177"/>
      <c r="F818" s="177"/>
      <c r="G818" s="177"/>
      <c r="H818" s="148"/>
      <c r="I818" s="7"/>
      <c r="J818" s="7"/>
      <c r="K818" s="7"/>
      <c r="L818" s="7"/>
      <c r="M818" s="7"/>
      <c r="N818" s="7"/>
      <c r="O818" s="7"/>
      <c r="P818" s="7"/>
      <c r="Q818" s="7"/>
      <c r="R818" s="7"/>
      <c r="S818" s="7"/>
      <c r="T818" s="7"/>
      <c r="U818" s="7"/>
      <c r="V818" s="7"/>
      <c r="W818" s="7"/>
      <c r="X818" s="7"/>
      <c r="Y818" s="7"/>
      <c r="Z818" s="7"/>
      <c r="AA818" s="7"/>
    </row>
    <row r="819">
      <c r="A819" s="242"/>
      <c r="B819" s="242"/>
      <c r="C819" s="177"/>
      <c r="D819" s="177"/>
      <c r="E819" s="177"/>
      <c r="F819" s="177"/>
      <c r="G819" s="177"/>
      <c r="H819" s="148"/>
      <c r="I819" s="7"/>
      <c r="J819" s="7"/>
      <c r="K819" s="7"/>
      <c r="L819" s="7"/>
      <c r="M819" s="7"/>
      <c r="N819" s="7"/>
      <c r="O819" s="7"/>
      <c r="P819" s="7"/>
      <c r="Q819" s="7"/>
      <c r="R819" s="7"/>
      <c r="S819" s="7"/>
      <c r="T819" s="7"/>
      <c r="U819" s="7"/>
      <c r="V819" s="7"/>
      <c r="W819" s="7"/>
      <c r="X819" s="7"/>
      <c r="Y819" s="7"/>
      <c r="Z819" s="7"/>
      <c r="AA819" s="7"/>
    </row>
    <row r="820">
      <c r="A820" s="242"/>
      <c r="B820" s="242"/>
      <c r="C820" s="177"/>
      <c r="D820" s="177"/>
      <c r="E820" s="177"/>
      <c r="F820" s="177"/>
      <c r="G820" s="177"/>
      <c r="H820" s="148"/>
      <c r="I820" s="7"/>
      <c r="J820" s="7"/>
      <c r="K820" s="7"/>
      <c r="L820" s="7"/>
      <c r="M820" s="7"/>
      <c r="N820" s="7"/>
      <c r="O820" s="7"/>
      <c r="P820" s="7"/>
      <c r="Q820" s="7"/>
      <c r="R820" s="7"/>
      <c r="S820" s="7"/>
      <c r="T820" s="7"/>
      <c r="U820" s="7"/>
      <c r="V820" s="7"/>
      <c r="W820" s="7"/>
      <c r="X820" s="7"/>
      <c r="Y820" s="7"/>
      <c r="Z820" s="7"/>
      <c r="AA820" s="7"/>
    </row>
    <row r="821">
      <c r="A821" s="242"/>
      <c r="B821" s="242"/>
      <c r="C821" s="177"/>
      <c r="D821" s="177"/>
      <c r="E821" s="177"/>
      <c r="F821" s="177"/>
      <c r="G821" s="177"/>
      <c r="H821" s="148"/>
      <c r="I821" s="7"/>
      <c r="J821" s="7"/>
      <c r="K821" s="7"/>
      <c r="L821" s="7"/>
      <c r="M821" s="7"/>
      <c r="N821" s="7"/>
      <c r="O821" s="7"/>
      <c r="P821" s="7"/>
      <c r="Q821" s="7"/>
      <c r="R821" s="7"/>
      <c r="S821" s="7"/>
      <c r="T821" s="7"/>
      <c r="U821" s="7"/>
      <c r="V821" s="7"/>
      <c r="W821" s="7"/>
      <c r="X821" s="7"/>
      <c r="Y821" s="7"/>
      <c r="Z821" s="7"/>
      <c r="AA821" s="7"/>
    </row>
    <row r="822">
      <c r="A822" s="242"/>
      <c r="B822" s="242"/>
      <c r="C822" s="177"/>
      <c r="D822" s="177"/>
      <c r="E822" s="177"/>
      <c r="F822" s="177"/>
      <c r="G822" s="177"/>
      <c r="H822" s="148"/>
      <c r="I822" s="7"/>
      <c r="J822" s="7"/>
      <c r="K822" s="7"/>
      <c r="L822" s="7"/>
      <c r="M822" s="7"/>
      <c r="N822" s="7"/>
      <c r="O822" s="7"/>
      <c r="P822" s="7"/>
      <c r="Q822" s="7"/>
      <c r="R822" s="7"/>
      <c r="S822" s="7"/>
      <c r="T822" s="7"/>
      <c r="U822" s="7"/>
      <c r="V822" s="7"/>
      <c r="W822" s="7"/>
      <c r="X822" s="7"/>
      <c r="Y822" s="7"/>
      <c r="Z822" s="7"/>
      <c r="AA822" s="7"/>
    </row>
    <row r="823">
      <c r="A823" s="242"/>
      <c r="B823" s="242"/>
      <c r="C823" s="177"/>
      <c r="D823" s="177"/>
      <c r="E823" s="177"/>
      <c r="F823" s="177"/>
      <c r="G823" s="177"/>
      <c r="H823" s="148"/>
      <c r="I823" s="7"/>
      <c r="J823" s="7"/>
      <c r="K823" s="7"/>
      <c r="L823" s="7"/>
      <c r="M823" s="7"/>
      <c r="N823" s="7"/>
      <c r="O823" s="7"/>
      <c r="P823" s="7"/>
      <c r="Q823" s="7"/>
      <c r="R823" s="7"/>
      <c r="S823" s="7"/>
      <c r="T823" s="7"/>
      <c r="U823" s="7"/>
      <c r="V823" s="7"/>
      <c r="W823" s="7"/>
      <c r="X823" s="7"/>
      <c r="Y823" s="7"/>
      <c r="Z823" s="7"/>
      <c r="AA823" s="7"/>
    </row>
    <row r="824">
      <c r="A824" s="242"/>
      <c r="B824" s="242"/>
      <c r="C824" s="177"/>
      <c r="D824" s="177"/>
      <c r="E824" s="177"/>
      <c r="F824" s="177"/>
      <c r="G824" s="177"/>
      <c r="H824" s="148"/>
      <c r="I824" s="7"/>
      <c r="J824" s="7"/>
      <c r="K824" s="7"/>
      <c r="L824" s="7"/>
      <c r="M824" s="7"/>
      <c r="N824" s="7"/>
      <c r="O824" s="7"/>
      <c r="P824" s="7"/>
      <c r="Q824" s="7"/>
      <c r="R824" s="7"/>
      <c r="S824" s="7"/>
      <c r="T824" s="7"/>
      <c r="U824" s="7"/>
      <c r="V824" s="7"/>
      <c r="W824" s="7"/>
      <c r="X824" s="7"/>
      <c r="Y824" s="7"/>
      <c r="Z824" s="7"/>
      <c r="AA824" s="7"/>
    </row>
    <row r="825">
      <c r="A825" s="242"/>
      <c r="B825" s="242"/>
      <c r="C825" s="177"/>
      <c r="D825" s="177"/>
      <c r="E825" s="177"/>
      <c r="F825" s="177"/>
      <c r="G825" s="177"/>
      <c r="H825" s="148"/>
      <c r="I825" s="7"/>
      <c r="J825" s="7"/>
      <c r="K825" s="7"/>
      <c r="L825" s="7"/>
      <c r="M825" s="7"/>
      <c r="N825" s="7"/>
      <c r="O825" s="7"/>
      <c r="P825" s="7"/>
      <c r="Q825" s="7"/>
      <c r="R825" s="7"/>
      <c r="S825" s="7"/>
      <c r="T825" s="7"/>
      <c r="U825" s="7"/>
      <c r="V825" s="7"/>
      <c r="W825" s="7"/>
      <c r="X825" s="7"/>
      <c r="Y825" s="7"/>
      <c r="Z825" s="7"/>
      <c r="AA825" s="7"/>
    </row>
    <row r="826">
      <c r="A826" s="242"/>
      <c r="B826" s="242"/>
      <c r="C826" s="177"/>
      <c r="D826" s="177"/>
      <c r="E826" s="177"/>
      <c r="F826" s="177"/>
      <c r="G826" s="177"/>
      <c r="H826" s="148"/>
      <c r="I826" s="7"/>
      <c r="J826" s="7"/>
      <c r="K826" s="7"/>
      <c r="L826" s="7"/>
      <c r="M826" s="7"/>
      <c r="N826" s="7"/>
      <c r="O826" s="7"/>
      <c r="P826" s="7"/>
      <c r="Q826" s="7"/>
      <c r="R826" s="7"/>
      <c r="S826" s="7"/>
      <c r="T826" s="7"/>
      <c r="U826" s="7"/>
      <c r="V826" s="7"/>
      <c r="W826" s="7"/>
      <c r="X826" s="7"/>
      <c r="Y826" s="7"/>
      <c r="Z826" s="7"/>
      <c r="AA826" s="7"/>
    </row>
    <row r="827">
      <c r="A827" s="242"/>
      <c r="B827" s="242"/>
      <c r="C827" s="177"/>
      <c r="D827" s="177"/>
      <c r="E827" s="177"/>
      <c r="F827" s="177"/>
      <c r="G827" s="177"/>
      <c r="H827" s="148"/>
      <c r="I827" s="7"/>
      <c r="J827" s="7"/>
      <c r="K827" s="7"/>
      <c r="L827" s="7"/>
      <c r="M827" s="7"/>
      <c r="N827" s="7"/>
      <c r="O827" s="7"/>
      <c r="P827" s="7"/>
      <c r="Q827" s="7"/>
      <c r="R827" s="7"/>
      <c r="S827" s="7"/>
      <c r="T827" s="7"/>
      <c r="U827" s="7"/>
      <c r="V827" s="7"/>
      <c r="W827" s="7"/>
      <c r="X827" s="7"/>
      <c r="Y827" s="7"/>
      <c r="Z827" s="7"/>
      <c r="AA827" s="7"/>
    </row>
    <row r="828">
      <c r="A828" s="242"/>
      <c r="B828" s="242"/>
      <c r="C828" s="177"/>
      <c r="D828" s="177"/>
      <c r="E828" s="177"/>
      <c r="F828" s="177"/>
      <c r="G828" s="177"/>
      <c r="H828" s="148"/>
      <c r="I828" s="7"/>
      <c r="J828" s="7"/>
      <c r="K828" s="7"/>
      <c r="L828" s="7"/>
      <c r="M828" s="7"/>
      <c r="N828" s="7"/>
      <c r="O828" s="7"/>
      <c r="P828" s="7"/>
      <c r="Q828" s="7"/>
      <c r="R828" s="7"/>
      <c r="S828" s="7"/>
      <c r="T828" s="7"/>
      <c r="U828" s="7"/>
      <c r="V828" s="7"/>
      <c r="W828" s="7"/>
      <c r="X828" s="7"/>
      <c r="Y828" s="7"/>
      <c r="Z828" s="7"/>
      <c r="AA828" s="7"/>
    </row>
    <row r="829">
      <c r="A829" s="242"/>
      <c r="B829" s="242"/>
      <c r="C829" s="177"/>
      <c r="D829" s="177"/>
      <c r="E829" s="177"/>
      <c r="F829" s="177"/>
      <c r="G829" s="177"/>
      <c r="H829" s="148"/>
      <c r="I829" s="7"/>
      <c r="J829" s="7"/>
      <c r="K829" s="7"/>
      <c r="L829" s="7"/>
      <c r="M829" s="7"/>
      <c r="N829" s="7"/>
      <c r="O829" s="7"/>
      <c r="P829" s="7"/>
      <c r="Q829" s="7"/>
      <c r="R829" s="7"/>
      <c r="S829" s="7"/>
      <c r="T829" s="7"/>
      <c r="U829" s="7"/>
      <c r="V829" s="7"/>
      <c r="W829" s="7"/>
      <c r="X829" s="7"/>
      <c r="Y829" s="7"/>
      <c r="Z829" s="7"/>
      <c r="AA829" s="7"/>
    </row>
    <row r="830">
      <c r="A830" s="242"/>
      <c r="B830" s="242"/>
      <c r="C830" s="177"/>
      <c r="D830" s="177"/>
      <c r="E830" s="177"/>
      <c r="F830" s="177"/>
      <c r="G830" s="177"/>
      <c r="H830" s="148"/>
      <c r="I830" s="7"/>
      <c r="J830" s="7"/>
      <c r="K830" s="7"/>
      <c r="L830" s="7"/>
      <c r="M830" s="7"/>
      <c r="N830" s="7"/>
      <c r="O830" s="7"/>
      <c r="P830" s="7"/>
      <c r="Q830" s="7"/>
      <c r="R830" s="7"/>
      <c r="S830" s="7"/>
      <c r="T830" s="7"/>
      <c r="U830" s="7"/>
      <c r="V830" s="7"/>
      <c r="W830" s="7"/>
      <c r="X830" s="7"/>
      <c r="Y830" s="7"/>
      <c r="Z830" s="7"/>
      <c r="AA830" s="7"/>
    </row>
    <row r="831">
      <c r="A831" s="242"/>
      <c r="B831" s="242"/>
      <c r="C831" s="177"/>
      <c r="D831" s="177"/>
      <c r="E831" s="177"/>
      <c r="F831" s="177"/>
      <c r="G831" s="177"/>
      <c r="H831" s="148"/>
      <c r="I831" s="7"/>
      <c r="J831" s="7"/>
      <c r="K831" s="7"/>
      <c r="L831" s="7"/>
      <c r="M831" s="7"/>
      <c r="N831" s="7"/>
      <c r="O831" s="7"/>
      <c r="P831" s="7"/>
      <c r="Q831" s="7"/>
      <c r="R831" s="7"/>
      <c r="S831" s="7"/>
      <c r="T831" s="7"/>
      <c r="U831" s="7"/>
      <c r="V831" s="7"/>
      <c r="W831" s="7"/>
      <c r="X831" s="7"/>
      <c r="Y831" s="7"/>
      <c r="Z831" s="7"/>
      <c r="AA831" s="7"/>
    </row>
    <row r="832">
      <c r="A832" s="242"/>
      <c r="B832" s="242"/>
      <c r="C832" s="177"/>
      <c r="D832" s="177"/>
      <c r="E832" s="177"/>
      <c r="F832" s="177"/>
      <c r="G832" s="177"/>
      <c r="H832" s="148"/>
      <c r="I832" s="7"/>
      <c r="J832" s="7"/>
      <c r="K832" s="7"/>
      <c r="L832" s="7"/>
      <c r="M832" s="7"/>
      <c r="N832" s="7"/>
      <c r="O832" s="7"/>
      <c r="P832" s="7"/>
      <c r="Q832" s="7"/>
      <c r="R832" s="7"/>
      <c r="S832" s="7"/>
      <c r="T832" s="7"/>
      <c r="U832" s="7"/>
      <c r="V832" s="7"/>
      <c r="W832" s="7"/>
      <c r="X832" s="7"/>
      <c r="Y832" s="7"/>
      <c r="Z832" s="7"/>
      <c r="AA832" s="7"/>
    </row>
    <row r="833">
      <c r="A833" s="242"/>
      <c r="B833" s="242"/>
      <c r="C833" s="177"/>
      <c r="D833" s="177"/>
      <c r="E833" s="177"/>
      <c r="F833" s="177"/>
      <c r="G833" s="177"/>
      <c r="H833" s="148"/>
      <c r="I833" s="7"/>
      <c r="J833" s="7"/>
      <c r="K833" s="7"/>
      <c r="L833" s="7"/>
      <c r="M833" s="7"/>
      <c r="N833" s="7"/>
      <c r="O833" s="7"/>
      <c r="P833" s="7"/>
      <c r="Q833" s="7"/>
      <c r="R833" s="7"/>
      <c r="S833" s="7"/>
      <c r="T833" s="7"/>
      <c r="U833" s="7"/>
      <c r="V833" s="7"/>
      <c r="W833" s="7"/>
      <c r="X833" s="7"/>
      <c r="Y833" s="7"/>
      <c r="Z833" s="7"/>
      <c r="AA833" s="7"/>
    </row>
    <row r="834">
      <c r="A834" s="242"/>
      <c r="B834" s="242"/>
      <c r="C834" s="177"/>
      <c r="D834" s="177"/>
      <c r="E834" s="177"/>
      <c r="F834" s="177"/>
      <c r="G834" s="177"/>
      <c r="H834" s="148"/>
      <c r="I834" s="7"/>
      <c r="J834" s="7"/>
      <c r="K834" s="7"/>
      <c r="L834" s="7"/>
      <c r="M834" s="7"/>
      <c r="N834" s="7"/>
      <c r="O834" s="7"/>
      <c r="P834" s="7"/>
      <c r="Q834" s="7"/>
      <c r="R834" s="7"/>
      <c r="S834" s="7"/>
      <c r="T834" s="7"/>
      <c r="U834" s="7"/>
      <c r="V834" s="7"/>
      <c r="W834" s="7"/>
      <c r="X834" s="7"/>
      <c r="Y834" s="7"/>
      <c r="Z834" s="7"/>
      <c r="AA834" s="7"/>
    </row>
    <row r="835">
      <c r="A835" s="242"/>
      <c r="B835" s="242"/>
      <c r="C835" s="177"/>
      <c r="D835" s="177"/>
      <c r="E835" s="177"/>
      <c r="F835" s="177"/>
      <c r="G835" s="177"/>
      <c r="H835" s="148"/>
      <c r="I835" s="7"/>
      <c r="J835" s="7"/>
      <c r="K835" s="7"/>
      <c r="L835" s="7"/>
      <c r="M835" s="7"/>
      <c r="N835" s="7"/>
      <c r="O835" s="7"/>
      <c r="P835" s="7"/>
      <c r="Q835" s="7"/>
      <c r="R835" s="7"/>
      <c r="S835" s="7"/>
      <c r="T835" s="7"/>
      <c r="U835" s="7"/>
      <c r="V835" s="7"/>
      <c r="W835" s="7"/>
      <c r="X835" s="7"/>
      <c r="Y835" s="7"/>
      <c r="Z835" s="7"/>
      <c r="AA835" s="7"/>
    </row>
    <row r="836">
      <c r="A836" s="242"/>
      <c r="B836" s="242"/>
      <c r="C836" s="177"/>
      <c r="D836" s="177"/>
      <c r="E836" s="177"/>
      <c r="F836" s="177"/>
      <c r="G836" s="177"/>
      <c r="H836" s="148"/>
      <c r="I836" s="7"/>
      <c r="J836" s="7"/>
      <c r="K836" s="7"/>
      <c r="L836" s="7"/>
      <c r="M836" s="7"/>
      <c r="N836" s="7"/>
      <c r="O836" s="7"/>
      <c r="P836" s="7"/>
      <c r="Q836" s="7"/>
      <c r="R836" s="7"/>
      <c r="S836" s="7"/>
      <c r="T836" s="7"/>
      <c r="U836" s="7"/>
      <c r="V836" s="7"/>
      <c r="W836" s="7"/>
      <c r="X836" s="7"/>
      <c r="Y836" s="7"/>
      <c r="Z836" s="7"/>
      <c r="AA836" s="7"/>
    </row>
    <row r="837">
      <c r="A837" s="242"/>
      <c r="B837" s="242"/>
      <c r="C837" s="177"/>
      <c r="D837" s="177"/>
      <c r="E837" s="177"/>
      <c r="F837" s="177"/>
      <c r="G837" s="177"/>
      <c r="H837" s="148"/>
      <c r="I837" s="7"/>
      <c r="J837" s="7"/>
      <c r="K837" s="7"/>
      <c r="L837" s="7"/>
      <c r="M837" s="7"/>
      <c r="N837" s="7"/>
      <c r="O837" s="7"/>
      <c r="P837" s="7"/>
      <c r="Q837" s="7"/>
      <c r="R837" s="7"/>
      <c r="S837" s="7"/>
      <c r="T837" s="7"/>
      <c r="U837" s="7"/>
      <c r="V837" s="7"/>
      <c r="W837" s="7"/>
      <c r="X837" s="7"/>
      <c r="Y837" s="7"/>
      <c r="Z837" s="7"/>
      <c r="AA837" s="7"/>
    </row>
    <row r="838">
      <c r="A838" s="242"/>
      <c r="B838" s="242"/>
      <c r="C838" s="177"/>
      <c r="D838" s="177"/>
      <c r="E838" s="177"/>
      <c r="F838" s="177"/>
      <c r="G838" s="177"/>
      <c r="H838" s="148"/>
      <c r="I838" s="7"/>
      <c r="J838" s="7"/>
      <c r="K838" s="7"/>
      <c r="L838" s="7"/>
      <c r="M838" s="7"/>
      <c r="N838" s="7"/>
      <c r="O838" s="7"/>
      <c r="P838" s="7"/>
      <c r="Q838" s="7"/>
      <c r="R838" s="7"/>
      <c r="S838" s="7"/>
      <c r="T838" s="7"/>
      <c r="U838" s="7"/>
      <c r="V838" s="7"/>
      <c r="W838" s="7"/>
      <c r="X838" s="7"/>
      <c r="Y838" s="7"/>
      <c r="Z838" s="7"/>
      <c r="AA838" s="7"/>
    </row>
    <row r="839">
      <c r="A839" s="242"/>
      <c r="B839" s="242"/>
      <c r="C839" s="177"/>
      <c r="D839" s="177"/>
      <c r="E839" s="177"/>
      <c r="F839" s="177"/>
      <c r="G839" s="177"/>
      <c r="H839" s="148"/>
      <c r="I839" s="7"/>
      <c r="J839" s="7"/>
      <c r="K839" s="7"/>
      <c r="L839" s="7"/>
      <c r="M839" s="7"/>
      <c r="N839" s="7"/>
      <c r="O839" s="7"/>
      <c r="P839" s="7"/>
      <c r="Q839" s="7"/>
      <c r="R839" s="7"/>
      <c r="S839" s="7"/>
      <c r="T839" s="7"/>
      <c r="U839" s="7"/>
      <c r="V839" s="7"/>
      <c r="W839" s="7"/>
      <c r="X839" s="7"/>
      <c r="Y839" s="7"/>
      <c r="Z839" s="7"/>
      <c r="AA839" s="7"/>
    </row>
    <row r="840">
      <c r="A840" s="242"/>
      <c r="B840" s="242"/>
      <c r="C840" s="177"/>
      <c r="D840" s="177"/>
      <c r="E840" s="177"/>
      <c r="F840" s="177"/>
      <c r="G840" s="177"/>
      <c r="H840" s="148"/>
      <c r="I840" s="7"/>
      <c r="J840" s="7"/>
      <c r="K840" s="7"/>
      <c r="L840" s="7"/>
      <c r="M840" s="7"/>
      <c r="N840" s="7"/>
      <c r="O840" s="7"/>
      <c r="P840" s="7"/>
      <c r="Q840" s="7"/>
      <c r="R840" s="7"/>
      <c r="S840" s="7"/>
      <c r="T840" s="7"/>
      <c r="U840" s="7"/>
      <c r="V840" s="7"/>
      <c r="W840" s="7"/>
      <c r="X840" s="7"/>
      <c r="Y840" s="7"/>
      <c r="Z840" s="7"/>
      <c r="AA840" s="7"/>
    </row>
    <row r="841">
      <c r="A841" s="242"/>
      <c r="B841" s="242"/>
      <c r="C841" s="177"/>
      <c r="D841" s="177"/>
      <c r="E841" s="177"/>
      <c r="F841" s="177"/>
      <c r="G841" s="177"/>
      <c r="H841" s="148"/>
      <c r="I841" s="7"/>
      <c r="J841" s="7"/>
      <c r="K841" s="7"/>
      <c r="L841" s="7"/>
      <c r="M841" s="7"/>
      <c r="N841" s="7"/>
      <c r="O841" s="7"/>
      <c r="P841" s="7"/>
      <c r="Q841" s="7"/>
      <c r="R841" s="7"/>
      <c r="S841" s="7"/>
      <c r="T841" s="7"/>
      <c r="U841" s="7"/>
      <c r="V841" s="7"/>
      <c r="W841" s="7"/>
      <c r="X841" s="7"/>
      <c r="Y841" s="7"/>
      <c r="Z841" s="7"/>
      <c r="AA841" s="7"/>
    </row>
    <row r="842">
      <c r="A842" s="242"/>
      <c r="B842" s="242"/>
      <c r="C842" s="177"/>
      <c r="D842" s="177"/>
      <c r="E842" s="177"/>
      <c r="F842" s="177"/>
      <c r="G842" s="177"/>
      <c r="H842" s="148"/>
      <c r="I842" s="7"/>
      <c r="J842" s="7"/>
      <c r="K842" s="7"/>
      <c r="L842" s="7"/>
      <c r="M842" s="7"/>
      <c r="N842" s="7"/>
      <c r="O842" s="7"/>
      <c r="P842" s="7"/>
      <c r="Q842" s="7"/>
      <c r="R842" s="7"/>
      <c r="S842" s="7"/>
      <c r="T842" s="7"/>
      <c r="U842" s="7"/>
      <c r="V842" s="7"/>
      <c r="W842" s="7"/>
      <c r="X842" s="7"/>
      <c r="Y842" s="7"/>
      <c r="Z842" s="7"/>
      <c r="AA842" s="7"/>
    </row>
    <row r="843">
      <c r="A843" s="242"/>
      <c r="B843" s="242"/>
      <c r="C843" s="177"/>
      <c r="D843" s="177"/>
      <c r="E843" s="177"/>
      <c r="F843" s="177"/>
      <c r="G843" s="177"/>
      <c r="H843" s="148"/>
      <c r="I843" s="7"/>
      <c r="J843" s="7"/>
      <c r="K843" s="7"/>
      <c r="L843" s="7"/>
      <c r="M843" s="7"/>
      <c r="N843" s="7"/>
      <c r="O843" s="7"/>
      <c r="P843" s="7"/>
      <c r="Q843" s="7"/>
      <c r="R843" s="7"/>
      <c r="S843" s="7"/>
      <c r="T843" s="7"/>
      <c r="U843" s="7"/>
      <c r="V843" s="7"/>
      <c r="W843" s="7"/>
      <c r="X843" s="7"/>
      <c r="Y843" s="7"/>
      <c r="Z843" s="7"/>
      <c r="AA843" s="7"/>
    </row>
    <row r="844">
      <c r="A844" s="242"/>
      <c r="B844" s="242"/>
      <c r="C844" s="177"/>
      <c r="D844" s="177"/>
      <c r="E844" s="177"/>
      <c r="F844" s="177"/>
      <c r="G844" s="177"/>
      <c r="H844" s="148"/>
      <c r="I844" s="7"/>
      <c r="J844" s="7"/>
      <c r="K844" s="7"/>
      <c r="L844" s="7"/>
      <c r="M844" s="7"/>
      <c r="N844" s="7"/>
      <c r="O844" s="7"/>
      <c r="P844" s="7"/>
      <c r="Q844" s="7"/>
      <c r="R844" s="7"/>
      <c r="S844" s="7"/>
      <c r="T844" s="7"/>
      <c r="U844" s="7"/>
      <c r="V844" s="7"/>
      <c r="W844" s="7"/>
      <c r="X844" s="7"/>
      <c r="Y844" s="7"/>
      <c r="Z844" s="7"/>
      <c r="AA844" s="7"/>
    </row>
    <row r="845">
      <c r="A845" s="242"/>
      <c r="B845" s="242"/>
      <c r="C845" s="177"/>
      <c r="D845" s="177"/>
      <c r="E845" s="177"/>
      <c r="F845" s="177"/>
      <c r="G845" s="177"/>
      <c r="H845" s="148"/>
      <c r="I845" s="7"/>
      <c r="J845" s="7"/>
      <c r="K845" s="7"/>
      <c r="L845" s="7"/>
      <c r="M845" s="7"/>
      <c r="N845" s="7"/>
      <c r="O845" s="7"/>
      <c r="P845" s="7"/>
      <c r="Q845" s="7"/>
      <c r="R845" s="7"/>
      <c r="S845" s="7"/>
      <c r="T845" s="7"/>
      <c r="U845" s="7"/>
      <c r="V845" s="7"/>
      <c r="W845" s="7"/>
      <c r="X845" s="7"/>
      <c r="Y845" s="7"/>
      <c r="Z845" s="7"/>
      <c r="AA845" s="7"/>
    </row>
    <row r="846">
      <c r="A846" s="242"/>
      <c r="B846" s="242"/>
      <c r="C846" s="177"/>
      <c r="D846" s="177"/>
      <c r="E846" s="177"/>
      <c r="F846" s="177"/>
      <c r="G846" s="177"/>
      <c r="H846" s="148"/>
      <c r="I846" s="7"/>
      <c r="J846" s="7"/>
      <c r="K846" s="7"/>
      <c r="L846" s="7"/>
      <c r="M846" s="7"/>
      <c r="N846" s="7"/>
      <c r="O846" s="7"/>
      <c r="P846" s="7"/>
      <c r="Q846" s="7"/>
      <c r="R846" s="7"/>
      <c r="S846" s="7"/>
      <c r="T846" s="7"/>
      <c r="U846" s="7"/>
      <c r="V846" s="7"/>
      <c r="W846" s="7"/>
      <c r="X846" s="7"/>
      <c r="Y846" s="7"/>
      <c r="Z846" s="7"/>
      <c r="AA846" s="7"/>
    </row>
    <row r="847">
      <c r="A847" s="242"/>
      <c r="B847" s="242"/>
      <c r="C847" s="177"/>
      <c r="D847" s="177"/>
      <c r="E847" s="177"/>
      <c r="F847" s="177"/>
      <c r="G847" s="177"/>
      <c r="H847" s="148"/>
      <c r="I847" s="7"/>
      <c r="J847" s="7"/>
      <c r="K847" s="7"/>
      <c r="L847" s="7"/>
      <c r="M847" s="7"/>
      <c r="N847" s="7"/>
      <c r="O847" s="7"/>
      <c r="P847" s="7"/>
      <c r="Q847" s="7"/>
      <c r="R847" s="7"/>
      <c r="S847" s="7"/>
      <c r="T847" s="7"/>
      <c r="U847" s="7"/>
      <c r="V847" s="7"/>
      <c r="W847" s="7"/>
      <c r="X847" s="7"/>
      <c r="Y847" s="7"/>
      <c r="Z847" s="7"/>
      <c r="AA847" s="7"/>
    </row>
    <row r="848">
      <c r="A848" s="242"/>
      <c r="B848" s="242"/>
      <c r="C848" s="177"/>
      <c r="D848" s="177"/>
      <c r="E848" s="177"/>
      <c r="F848" s="177"/>
      <c r="G848" s="177"/>
      <c r="H848" s="148"/>
      <c r="I848" s="7"/>
      <c r="J848" s="7"/>
      <c r="K848" s="7"/>
      <c r="L848" s="7"/>
      <c r="M848" s="7"/>
      <c r="N848" s="7"/>
      <c r="O848" s="7"/>
      <c r="P848" s="7"/>
      <c r="Q848" s="7"/>
      <c r="R848" s="7"/>
      <c r="S848" s="7"/>
      <c r="T848" s="7"/>
      <c r="U848" s="7"/>
      <c r="V848" s="7"/>
      <c r="W848" s="7"/>
      <c r="X848" s="7"/>
      <c r="Y848" s="7"/>
      <c r="Z848" s="7"/>
      <c r="AA848" s="7"/>
    </row>
    <row r="849">
      <c r="A849" s="242"/>
      <c r="B849" s="242"/>
      <c r="C849" s="177"/>
      <c r="D849" s="177"/>
      <c r="E849" s="177"/>
      <c r="F849" s="177"/>
      <c r="G849" s="177"/>
      <c r="H849" s="148"/>
      <c r="I849" s="7"/>
      <c r="J849" s="7"/>
      <c r="K849" s="7"/>
      <c r="L849" s="7"/>
      <c r="M849" s="7"/>
      <c r="N849" s="7"/>
      <c r="O849" s="7"/>
      <c r="P849" s="7"/>
      <c r="Q849" s="7"/>
      <c r="R849" s="7"/>
      <c r="S849" s="7"/>
      <c r="T849" s="7"/>
      <c r="U849" s="7"/>
      <c r="V849" s="7"/>
      <c r="W849" s="7"/>
      <c r="X849" s="7"/>
      <c r="Y849" s="7"/>
      <c r="Z849" s="7"/>
      <c r="AA849" s="7"/>
    </row>
    <row r="850">
      <c r="A850" s="242"/>
      <c r="B850" s="242"/>
      <c r="C850" s="177"/>
      <c r="D850" s="177"/>
      <c r="E850" s="177"/>
      <c r="F850" s="177"/>
      <c r="G850" s="177"/>
      <c r="H850" s="148"/>
      <c r="I850" s="7"/>
      <c r="J850" s="7"/>
      <c r="K850" s="7"/>
      <c r="L850" s="7"/>
      <c r="M850" s="7"/>
      <c r="N850" s="7"/>
      <c r="O850" s="7"/>
      <c r="P850" s="7"/>
      <c r="Q850" s="7"/>
      <c r="R850" s="7"/>
      <c r="S850" s="7"/>
      <c r="T850" s="7"/>
      <c r="U850" s="7"/>
      <c r="V850" s="7"/>
      <c r="W850" s="7"/>
      <c r="X850" s="7"/>
      <c r="Y850" s="7"/>
      <c r="Z850" s="7"/>
      <c r="AA850" s="7"/>
    </row>
    <row r="851">
      <c r="A851" s="242"/>
      <c r="B851" s="242"/>
      <c r="C851" s="177"/>
      <c r="D851" s="177"/>
      <c r="E851" s="177"/>
      <c r="F851" s="177"/>
      <c r="G851" s="177"/>
      <c r="H851" s="148"/>
      <c r="I851" s="7"/>
      <c r="J851" s="7"/>
      <c r="K851" s="7"/>
      <c r="L851" s="7"/>
      <c r="M851" s="7"/>
      <c r="N851" s="7"/>
      <c r="O851" s="7"/>
      <c r="P851" s="7"/>
      <c r="Q851" s="7"/>
      <c r="R851" s="7"/>
      <c r="S851" s="7"/>
      <c r="T851" s="7"/>
      <c r="U851" s="7"/>
      <c r="V851" s="7"/>
      <c r="W851" s="7"/>
      <c r="X851" s="7"/>
      <c r="Y851" s="7"/>
      <c r="Z851" s="7"/>
      <c r="AA851" s="7"/>
    </row>
    <row r="852">
      <c r="A852" s="242"/>
      <c r="B852" s="242"/>
      <c r="C852" s="177"/>
      <c r="D852" s="177"/>
      <c r="E852" s="177"/>
      <c r="F852" s="177"/>
      <c r="G852" s="177"/>
      <c r="H852" s="148"/>
      <c r="I852" s="7"/>
      <c r="J852" s="7"/>
      <c r="K852" s="7"/>
      <c r="L852" s="7"/>
      <c r="M852" s="7"/>
      <c r="N852" s="7"/>
      <c r="O852" s="7"/>
      <c r="P852" s="7"/>
      <c r="Q852" s="7"/>
      <c r="R852" s="7"/>
      <c r="S852" s="7"/>
      <c r="T852" s="7"/>
      <c r="U852" s="7"/>
      <c r="V852" s="7"/>
      <c r="W852" s="7"/>
      <c r="X852" s="7"/>
      <c r="Y852" s="7"/>
      <c r="Z852" s="7"/>
      <c r="AA852" s="7"/>
    </row>
    <row r="853">
      <c r="A853" s="242"/>
      <c r="B853" s="242"/>
      <c r="C853" s="177"/>
      <c r="D853" s="177"/>
      <c r="E853" s="177"/>
      <c r="F853" s="177"/>
      <c r="G853" s="177"/>
      <c r="H853" s="148"/>
      <c r="I853" s="7"/>
      <c r="J853" s="7"/>
      <c r="K853" s="7"/>
      <c r="L853" s="7"/>
      <c r="M853" s="7"/>
      <c r="N853" s="7"/>
      <c r="O853" s="7"/>
      <c r="P853" s="7"/>
      <c r="Q853" s="7"/>
      <c r="R853" s="7"/>
      <c r="S853" s="7"/>
      <c r="T853" s="7"/>
      <c r="U853" s="7"/>
      <c r="V853" s="7"/>
      <c r="W853" s="7"/>
      <c r="X853" s="7"/>
      <c r="Y853" s="7"/>
      <c r="Z853" s="7"/>
      <c r="AA853" s="7"/>
    </row>
    <row r="854">
      <c r="A854" s="242"/>
      <c r="B854" s="242"/>
      <c r="C854" s="177"/>
      <c r="D854" s="177"/>
      <c r="E854" s="177"/>
      <c r="F854" s="177"/>
      <c r="G854" s="177"/>
      <c r="H854" s="148"/>
      <c r="I854" s="7"/>
      <c r="J854" s="7"/>
      <c r="K854" s="7"/>
      <c r="L854" s="7"/>
      <c r="M854" s="7"/>
      <c r="N854" s="7"/>
      <c r="O854" s="7"/>
      <c r="P854" s="7"/>
      <c r="Q854" s="7"/>
      <c r="R854" s="7"/>
      <c r="S854" s="7"/>
      <c r="T854" s="7"/>
      <c r="U854" s="7"/>
      <c r="V854" s="7"/>
      <c r="W854" s="7"/>
      <c r="X854" s="7"/>
      <c r="Y854" s="7"/>
      <c r="Z854" s="7"/>
      <c r="AA854" s="7"/>
    </row>
    <row r="855">
      <c r="A855" s="242"/>
      <c r="B855" s="242"/>
      <c r="C855" s="177"/>
      <c r="D855" s="177"/>
      <c r="E855" s="177"/>
      <c r="F855" s="177"/>
      <c r="G855" s="177"/>
      <c r="H855" s="148"/>
      <c r="I855" s="7"/>
      <c r="J855" s="7"/>
      <c r="K855" s="7"/>
      <c r="L855" s="7"/>
      <c r="M855" s="7"/>
      <c r="N855" s="7"/>
      <c r="O855" s="7"/>
      <c r="P855" s="7"/>
      <c r="Q855" s="7"/>
      <c r="R855" s="7"/>
      <c r="S855" s="7"/>
      <c r="T855" s="7"/>
      <c r="U855" s="7"/>
      <c r="V855" s="7"/>
      <c r="W855" s="7"/>
      <c r="X855" s="7"/>
      <c r="Y855" s="7"/>
      <c r="Z855" s="7"/>
      <c r="AA855" s="7"/>
    </row>
    <row r="856">
      <c r="A856" s="242"/>
      <c r="B856" s="242"/>
      <c r="C856" s="177"/>
      <c r="D856" s="177"/>
      <c r="E856" s="177"/>
      <c r="F856" s="177"/>
      <c r="G856" s="177"/>
      <c r="H856" s="148"/>
      <c r="I856" s="7"/>
      <c r="J856" s="7"/>
      <c r="K856" s="7"/>
      <c r="L856" s="7"/>
      <c r="M856" s="7"/>
      <c r="N856" s="7"/>
      <c r="O856" s="7"/>
      <c r="P856" s="7"/>
      <c r="Q856" s="7"/>
      <c r="R856" s="7"/>
      <c r="S856" s="7"/>
      <c r="T856" s="7"/>
      <c r="U856" s="7"/>
      <c r="V856" s="7"/>
      <c r="W856" s="7"/>
      <c r="X856" s="7"/>
      <c r="Y856" s="7"/>
      <c r="Z856" s="7"/>
      <c r="AA856" s="7"/>
    </row>
    <row r="857">
      <c r="A857" s="242"/>
      <c r="B857" s="242"/>
      <c r="C857" s="177"/>
      <c r="D857" s="177"/>
      <c r="E857" s="177"/>
      <c r="F857" s="177"/>
      <c r="G857" s="177"/>
      <c r="H857" s="148"/>
      <c r="I857" s="7"/>
      <c r="J857" s="7"/>
      <c r="K857" s="7"/>
      <c r="L857" s="7"/>
      <c r="M857" s="7"/>
      <c r="N857" s="7"/>
      <c r="O857" s="7"/>
      <c r="P857" s="7"/>
      <c r="Q857" s="7"/>
      <c r="R857" s="7"/>
      <c r="S857" s="7"/>
      <c r="T857" s="7"/>
      <c r="U857" s="7"/>
      <c r="V857" s="7"/>
      <c r="W857" s="7"/>
      <c r="X857" s="7"/>
      <c r="Y857" s="7"/>
      <c r="Z857" s="7"/>
      <c r="AA857" s="7"/>
    </row>
    <row r="858">
      <c r="A858" s="242"/>
      <c r="B858" s="242"/>
      <c r="C858" s="177"/>
      <c r="D858" s="177"/>
      <c r="E858" s="177"/>
      <c r="F858" s="177"/>
      <c r="G858" s="177"/>
      <c r="H858" s="148"/>
      <c r="I858" s="7"/>
      <c r="J858" s="7"/>
      <c r="K858" s="7"/>
      <c r="L858" s="7"/>
      <c r="M858" s="7"/>
      <c r="N858" s="7"/>
      <c r="O858" s="7"/>
      <c r="P858" s="7"/>
      <c r="Q858" s="7"/>
      <c r="R858" s="7"/>
      <c r="S858" s="7"/>
      <c r="T858" s="7"/>
      <c r="U858" s="7"/>
      <c r="V858" s="7"/>
      <c r="W858" s="7"/>
      <c r="X858" s="7"/>
      <c r="Y858" s="7"/>
      <c r="Z858" s="7"/>
      <c r="AA858" s="7"/>
    </row>
    <row r="859">
      <c r="A859" s="242"/>
      <c r="B859" s="242"/>
      <c r="C859" s="177"/>
      <c r="D859" s="177"/>
      <c r="E859" s="177"/>
      <c r="F859" s="177"/>
      <c r="G859" s="177"/>
      <c r="H859" s="148"/>
      <c r="I859" s="7"/>
      <c r="J859" s="7"/>
      <c r="K859" s="7"/>
      <c r="L859" s="7"/>
      <c r="M859" s="7"/>
      <c r="N859" s="7"/>
      <c r="O859" s="7"/>
      <c r="P859" s="7"/>
      <c r="Q859" s="7"/>
      <c r="R859" s="7"/>
      <c r="S859" s="7"/>
      <c r="T859" s="7"/>
      <c r="U859" s="7"/>
      <c r="V859" s="7"/>
      <c r="W859" s="7"/>
      <c r="X859" s="7"/>
      <c r="Y859" s="7"/>
      <c r="Z859" s="7"/>
      <c r="AA859" s="7"/>
    </row>
    <row r="860">
      <c r="A860" s="242"/>
      <c r="B860" s="242"/>
      <c r="C860" s="177"/>
      <c r="D860" s="177"/>
      <c r="E860" s="177"/>
      <c r="F860" s="177"/>
      <c r="G860" s="177"/>
      <c r="H860" s="148"/>
      <c r="I860" s="7"/>
      <c r="J860" s="7"/>
      <c r="K860" s="7"/>
      <c r="L860" s="7"/>
      <c r="M860" s="7"/>
      <c r="N860" s="7"/>
      <c r="O860" s="7"/>
      <c r="P860" s="7"/>
      <c r="Q860" s="7"/>
      <c r="R860" s="7"/>
      <c r="S860" s="7"/>
      <c r="T860" s="7"/>
      <c r="U860" s="7"/>
      <c r="V860" s="7"/>
      <c r="W860" s="7"/>
      <c r="X860" s="7"/>
      <c r="Y860" s="7"/>
      <c r="Z860" s="7"/>
      <c r="AA860" s="7"/>
    </row>
    <row r="861">
      <c r="A861" s="242"/>
      <c r="B861" s="242"/>
      <c r="C861" s="177"/>
      <c r="D861" s="177"/>
      <c r="E861" s="177"/>
      <c r="F861" s="177"/>
      <c r="G861" s="177"/>
      <c r="H861" s="148"/>
      <c r="I861" s="7"/>
      <c r="J861" s="7"/>
      <c r="K861" s="7"/>
      <c r="L861" s="7"/>
      <c r="M861" s="7"/>
      <c r="N861" s="7"/>
      <c r="O861" s="7"/>
      <c r="P861" s="7"/>
      <c r="Q861" s="7"/>
      <c r="R861" s="7"/>
      <c r="S861" s="7"/>
      <c r="T861" s="7"/>
      <c r="U861" s="7"/>
      <c r="V861" s="7"/>
      <c r="W861" s="7"/>
      <c r="X861" s="7"/>
      <c r="Y861" s="7"/>
      <c r="Z861" s="7"/>
      <c r="AA861" s="7"/>
    </row>
    <row r="862">
      <c r="A862" s="242"/>
      <c r="B862" s="242"/>
      <c r="C862" s="177"/>
      <c r="D862" s="177"/>
      <c r="E862" s="177"/>
      <c r="F862" s="177"/>
      <c r="G862" s="177"/>
      <c r="H862" s="148"/>
      <c r="I862" s="7"/>
      <c r="J862" s="7"/>
      <c r="K862" s="7"/>
      <c r="L862" s="7"/>
      <c r="M862" s="7"/>
      <c r="N862" s="7"/>
      <c r="O862" s="7"/>
      <c r="P862" s="7"/>
      <c r="Q862" s="7"/>
      <c r="R862" s="7"/>
      <c r="S862" s="7"/>
      <c r="T862" s="7"/>
      <c r="U862" s="7"/>
      <c r="V862" s="7"/>
      <c r="W862" s="7"/>
      <c r="X862" s="7"/>
      <c r="Y862" s="7"/>
      <c r="Z862" s="7"/>
      <c r="AA862" s="7"/>
    </row>
    <row r="863">
      <c r="A863" s="242"/>
      <c r="B863" s="242"/>
      <c r="C863" s="177"/>
      <c r="D863" s="177"/>
      <c r="E863" s="177"/>
      <c r="F863" s="177"/>
      <c r="G863" s="177"/>
      <c r="H863" s="148"/>
      <c r="I863" s="7"/>
      <c r="J863" s="7"/>
      <c r="K863" s="7"/>
      <c r="L863" s="7"/>
      <c r="M863" s="7"/>
      <c r="N863" s="7"/>
      <c r="O863" s="7"/>
      <c r="P863" s="7"/>
      <c r="Q863" s="7"/>
      <c r="R863" s="7"/>
      <c r="S863" s="7"/>
      <c r="T863" s="7"/>
      <c r="U863" s="7"/>
      <c r="V863" s="7"/>
      <c r="W863" s="7"/>
      <c r="X863" s="7"/>
      <c r="Y863" s="7"/>
      <c r="Z863" s="7"/>
      <c r="AA863" s="7"/>
    </row>
    <row r="864">
      <c r="A864" s="242"/>
      <c r="B864" s="242"/>
      <c r="C864" s="177"/>
      <c r="D864" s="177"/>
      <c r="E864" s="177"/>
      <c r="F864" s="177"/>
      <c r="G864" s="177"/>
      <c r="H864" s="148"/>
      <c r="I864" s="7"/>
      <c r="J864" s="7"/>
      <c r="K864" s="7"/>
      <c r="L864" s="7"/>
      <c r="M864" s="7"/>
      <c r="N864" s="7"/>
      <c r="O864" s="7"/>
      <c r="P864" s="7"/>
      <c r="Q864" s="7"/>
      <c r="R864" s="7"/>
      <c r="S864" s="7"/>
      <c r="T864" s="7"/>
      <c r="U864" s="7"/>
      <c r="V864" s="7"/>
      <c r="W864" s="7"/>
      <c r="X864" s="7"/>
      <c r="Y864" s="7"/>
      <c r="Z864" s="7"/>
      <c r="AA864" s="7"/>
    </row>
    <row r="865">
      <c r="A865" s="242"/>
      <c r="B865" s="242"/>
      <c r="C865" s="177"/>
      <c r="D865" s="177"/>
      <c r="E865" s="177"/>
      <c r="F865" s="177"/>
      <c r="G865" s="177"/>
      <c r="H865" s="148"/>
      <c r="I865" s="7"/>
      <c r="J865" s="7"/>
      <c r="K865" s="7"/>
      <c r="L865" s="7"/>
      <c r="M865" s="7"/>
      <c r="N865" s="7"/>
      <c r="O865" s="7"/>
      <c r="P865" s="7"/>
      <c r="Q865" s="7"/>
      <c r="R865" s="7"/>
      <c r="S865" s="7"/>
      <c r="T865" s="7"/>
      <c r="U865" s="7"/>
      <c r="V865" s="7"/>
      <c r="W865" s="7"/>
      <c r="X865" s="7"/>
      <c r="Y865" s="7"/>
      <c r="Z865" s="7"/>
      <c r="AA865" s="7"/>
    </row>
    <row r="866">
      <c r="A866" s="242"/>
      <c r="B866" s="242"/>
      <c r="C866" s="177"/>
      <c r="D866" s="177"/>
      <c r="E866" s="177"/>
      <c r="F866" s="177"/>
      <c r="G866" s="177"/>
      <c r="H866" s="148"/>
      <c r="I866" s="7"/>
      <c r="J866" s="7"/>
      <c r="K866" s="7"/>
      <c r="L866" s="7"/>
      <c r="M866" s="7"/>
      <c r="N866" s="7"/>
      <c r="O866" s="7"/>
      <c r="P866" s="7"/>
      <c r="Q866" s="7"/>
      <c r="R866" s="7"/>
      <c r="S866" s="7"/>
      <c r="T866" s="7"/>
      <c r="U866" s="7"/>
      <c r="V866" s="7"/>
      <c r="W866" s="7"/>
      <c r="X866" s="7"/>
      <c r="Y866" s="7"/>
      <c r="Z866" s="7"/>
      <c r="AA866" s="7"/>
    </row>
    <row r="867">
      <c r="A867" s="242"/>
      <c r="B867" s="242"/>
      <c r="C867" s="177"/>
      <c r="D867" s="177"/>
      <c r="E867" s="177"/>
      <c r="F867" s="177"/>
      <c r="G867" s="177"/>
      <c r="H867" s="148"/>
      <c r="I867" s="7"/>
      <c r="J867" s="7"/>
      <c r="K867" s="7"/>
      <c r="L867" s="7"/>
      <c r="M867" s="7"/>
      <c r="N867" s="7"/>
      <c r="O867" s="7"/>
      <c r="P867" s="7"/>
      <c r="Q867" s="7"/>
      <c r="R867" s="7"/>
      <c r="S867" s="7"/>
      <c r="T867" s="7"/>
      <c r="U867" s="7"/>
      <c r="V867" s="7"/>
      <c r="W867" s="7"/>
      <c r="X867" s="7"/>
      <c r="Y867" s="7"/>
      <c r="Z867" s="7"/>
      <c r="AA867" s="7"/>
    </row>
    <row r="868">
      <c r="A868" s="242"/>
      <c r="B868" s="242"/>
      <c r="C868" s="177"/>
      <c r="D868" s="177"/>
      <c r="E868" s="177"/>
      <c r="F868" s="177"/>
      <c r="G868" s="177"/>
      <c r="H868" s="148"/>
      <c r="I868" s="7"/>
      <c r="J868" s="7"/>
      <c r="K868" s="7"/>
      <c r="L868" s="7"/>
      <c r="M868" s="7"/>
      <c r="N868" s="7"/>
      <c r="O868" s="7"/>
      <c r="P868" s="7"/>
      <c r="Q868" s="7"/>
      <c r="R868" s="7"/>
      <c r="S868" s="7"/>
      <c r="T868" s="7"/>
      <c r="U868" s="7"/>
      <c r="V868" s="7"/>
      <c r="W868" s="7"/>
      <c r="X868" s="7"/>
      <c r="Y868" s="7"/>
      <c r="Z868" s="7"/>
      <c r="AA868" s="7"/>
    </row>
    <row r="869">
      <c r="A869" s="242"/>
      <c r="B869" s="242"/>
      <c r="C869" s="177"/>
      <c r="D869" s="177"/>
      <c r="E869" s="177"/>
      <c r="F869" s="177"/>
      <c r="G869" s="177"/>
      <c r="H869" s="148"/>
      <c r="I869" s="7"/>
      <c r="J869" s="7"/>
      <c r="K869" s="7"/>
      <c r="L869" s="7"/>
      <c r="M869" s="7"/>
      <c r="N869" s="7"/>
      <c r="O869" s="7"/>
      <c r="P869" s="7"/>
      <c r="Q869" s="7"/>
      <c r="R869" s="7"/>
      <c r="S869" s="7"/>
      <c r="T869" s="7"/>
      <c r="U869" s="7"/>
      <c r="V869" s="7"/>
      <c r="W869" s="7"/>
      <c r="X869" s="7"/>
      <c r="Y869" s="7"/>
      <c r="Z869" s="7"/>
      <c r="AA869" s="7"/>
    </row>
    <row r="870">
      <c r="A870" s="242"/>
      <c r="B870" s="242"/>
      <c r="C870" s="177"/>
      <c r="D870" s="177"/>
      <c r="E870" s="177"/>
      <c r="F870" s="177"/>
      <c r="G870" s="177"/>
      <c r="H870" s="148"/>
      <c r="I870" s="7"/>
      <c r="J870" s="7"/>
      <c r="K870" s="7"/>
      <c r="L870" s="7"/>
      <c r="M870" s="7"/>
      <c r="N870" s="7"/>
      <c r="O870" s="7"/>
      <c r="P870" s="7"/>
      <c r="Q870" s="7"/>
      <c r="R870" s="7"/>
      <c r="S870" s="7"/>
      <c r="T870" s="7"/>
      <c r="U870" s="7"/>
      <c r="V870" s="7"/>
      <c r="W870" s="7"/>
      <c r="X870" s="7"/>
      <c r="Y870" s="7"/>
      <c r="Z870" s="7"/>
      <c r="AA870" s="7"/>
    </row>
    <row r="871">
      <c r="A871" s="242"/>
      <c r="B871" s="242"/>
      <c r="C871" s="177"/>
      <c r="D871" s="177"/>
      <c r="E871" s="177"/>
      <c r="F871" s="177"/>
      <c r="G871" s="177"/>
      <c r="H871" s="148"/>
      <c r="I871" s="7"/>
      <c r="J871" s="7"/>
      <c r="K871" s="7"/>
      <c r="L871" s="7"/>
      <c r="M871" s="7"/>
      <c r="N871" s="7"/>
      <c r="O871" s="7"/>
      <c r="P871" s="7"/>
      <c r="Q871" s="7"/>
      <c r="R871" s="7"/>
      <c r="S871" s="7"/>
      <c r="T871" s="7"/>
      <c r="U871" s="7"/>
      <c r="V871" s="7"/>
      <c r="W871" s="7"/>
      <c r="X871" s="7"/>
      <c r="Y871" s="7"/>
      <c r="Z871" s="7"/>
      <c r="AA871" s="7"/>
    </row>
    <row r="872">
      <c r="A872" s="242"/>
      <c r="B872" s="242"/>
      <c r="C872" s="177"/>
      <c r="D872" s="177"/>
      <c r="E872" s="177"/>
      <c r="F872" s="177"/>
      <c r="G872" s="177"/>
      <c r="H872" s="148"/>
      <c r="I872" s="7"/>
      <c r="J872" s="7"/>
      <c r="K872" s="7"/>
      <c r="L872" s="7"/>
      <c r="M872" s="7"/>
      <c r="N872" s="7"/>
      <c r="O872" s="7"/>
      <c r="P872" s="7"/>
      <c r="Q872" s="7"/>
      <c r="R872" s="7"/>
      <c r="S872" s="7"/>
      <c r="T872" s="7"/>
      <c r="U872" s="7"/>
      <c r="V872" s="7"/>
      <c r="W872" s="7"/>
      <c r="X872" s="7"/>
      <c r="Y872" s="7"/>
      <c r="Z872" s="7"/>
      <c r="AA872" s="7"/>
    </row>
    <row r="873">
      <c r="A873" s="242"/>
      <c r="B873" s="242"/>
      <c r="C873" s="177"/>
      <c r="D873" s="177"/>
      <c r="E873" s="177"/>
      <c r="F873" s="177"/>
      <c r="G873" s="177"/>
      <c r="H873" s="148"/>
      <c r="I873" s="7"/>
      <c r="J873" s="7"/>
      <c r="K873" s="7"/>
      <c r="L873" s="7"/>
      <c r="M873" s="7"/>
      <c r="N873" s="7"/>
      <c r="O873" s="7"/>
      <c r="P873" s="7"/>
      <c r="Q873" s="7"/>
      <c r="R873" s="7"/>
      <c r="S873" s="7"/>
      <c r="T873" s="7"/>
      <c r="U873" s="7"/>
      <c r="V873" s="7"/>
      <c r="W873" s="7"/>
      <c r="X873" s="7"/>
      <c r="Y873" s="7"/>
      <c r="Z873" s="7"/>
      <c r="AA873" s="7"/>
    </row>
    <row r="874">
      <c r="A874" s="242"/>
      <c r="B874" s="242"/>
      <c r="C874" s="177"/>
      <c r="D874" s="177"/>
      <c r="E874" s="177"/>
      <c r="F874" s="177"/>
      <c r="G874" s="177"/>
      <c r="H874" s="148"/>
      <c r="I874" s="7"/>
      <c r="J874" s="7"/>
      <c r="K874" s="7"/>
      <c r="L874" s="7"/>
      <c r="M874" s="7"/>
      <c r="N874" s="7"/>
      <c r="O874" s="7"/>
      <c r="P874" s="7"/>
      <c r="Q874" s="7"/>
      <c r="R874" s="7"/>
      <c r="S874" s="7"/>
      <c r="T874" s="7"/>
      <c r="U874" s="7"/>
      <c r="V874" s="7"/>
      <c r="W874" s="7"/>
      <c r="X874" s="7"/>
      <c r="Y874" s="7"/>
      <c r="Z874" s="7"/>
      <c r="AA874" s="7"/>
    </row>
    <row r="875">
      <c r="A875" s="242"/>
      <c r="B875" s="242"/>
      <c r="C875" s="177"/>
      <c r="D875" s="177"/>
      <c r="E875" s="177"/>
      <c r="F875" s="177"/>
      <c r="G875" s="177"/>
      <c r="H875" s="148"/>
      <c r="I875" s="7"/>
      <c r="J875" s="7"/>
      <c r="K875" s="7"/>
      <c r="L875" s="7"/>
      <c r="M875" s="7"/>
      <c r="N875" s="7"/>
      <c r="O875" s="7"/>
      <c r="P875" s="7"/>
      <c r="Q875" s="7"/>
      <c r="R875" s="7"/>
      <c r="S875" s="7"/>
      <c r="T875" s="7"/>
      <c r="U875" s="7"/>
      <c r="V875" s="7"/>
      <c r="W875" s="7"/>
      <c r="X875" s="7"/>
      <c r="Y875" s="7"/>
      <c r="Z875" s="7"/>
      <c r="AA875" s="7"/>
    </row>
    <row r="876">
      <c r="A876" s="242"/>
      <c r="B876" s="242"/>
      <c r="C876" s="177"/>
      <c r="D876" s="177"/>
      <c r="E876" s="177"/>
      <c r="F876" s="177"/>
      <c r="G876" s="177"/>
      <c r="H876" s="148"/>
      <c r="I876" s="7"/>
      <c r="J876" s="7"/>
      <c r="K876" s="7"/>
      <c r="L876" s="7"/>
      <c r="M876" s="7"/>
      <c r="N876" s="7"/>
      <c r="O876" s="7"/>
      <c r="P876" s="7"/>
      <c r="Q876" s="7"/>
      <c r="R876" s="7"/>
      <c r="S876" s="7"/>
      <c r="T876" s="7"/>
      <c r="U876" s="7"/>
      <c r="V876" s="7"/>
      <c r="W876" s="7"/>
      <c r="X876" s="7"/>
      <c r="Y876" s="7"/>
      <c r="Z876" s="7"/>
      <c r="AA876" s="7"/>
    </row>
    <row r="877">
      <c r="A877" s="242"/>
      <c r="B877" s="242"/>
      <c r="C877" s="177"/>
      <c r="D877" s="177"/>
      <c r="E877" s="177"/>
      <c r="F877" s="177"/>
      <c r="G877" s="177"/>
      <c r="H877" s="148"/>
      <c r="I877" s="7"/>
      <c r="J877" s="7"/>
      <c r="K877" s="7"/>
      <c r="L877" s="7"/>
      <c r="M877" s="7"/>
      <c r="N877" s="7"/>
      <c r="O877" s="7"/>
      <c r="P877" s="7"/>
      <c r="Q877" s="7"/>
      <c r="R877" s="7"/>
      <c r="S877" s="7"/>
      <c r="T877" s="7"/>
      <c r="U877" s="7"/>
      <c r="V877" s="7"/>
      <c r="W877" s="7"/>
      <c r="X877" s="7"/>
      <c r="Y877" s="7"/>
      <c r="Z877" s="7"/>
      <c r="AA877" s="7"/>
    </row>
    <row r="878">
      <c r="A878" s="242"/>
      <c r="B878" s="242"/>
      <c r="C878" s="177"/>
      <c r="D878" s="177"/>
      <c r="E878" s="177"/>
      <c r="F878" s="177"/>
      <c r="G878" s="177"/>
      <c r="H878" s="148"/>
      <c r="I878" s="7"/>
      <c r="J878" s="7"/>
      <c r="K878" s="7"/>
      <c r="L878" s="7"/>
      <c r="M878" s="7"/>
      <c r="N878" s="7"/>
      <c r="O878" s="7"/>
      <c r="P878" s="7"/>
      <c r="Q878" s="7"/>
      <c r="R878" s="7"/>
      <c r="S878" s="7"/>
      <c r="T878" s="7"/>
      <c r="U878" s="7"/>
      <c r="V878" s="7"/>
      <c r="W878" s="7"/>
      <c r="X878" s="7"/>
      <c r="Y878" s="7"/>
      <c r="Z878" s="7"/>
      <c r="AA878" s="7"/>
    </row>
    <row r="879">
      <c r="A879" s="242"/>
      <c r="B879" s="242"/>
      <c r="C879" s="177"/>
      <c r="D879" s="177"/>
      <c r="E879" s="177"/>
      <c r="F879" s="177"/>
      <c r="G879" s="177"/>
      <c r="H879" s="148"/>
      <c r="I879" s="7"/>
      <c r="J879" s="7"/>
      <c r="K879" s="7"/>
      <c r="L879" s="7"/>
      <c r="M879" s="7"/>
      <c r="N879" s="7"/>
      <c r="O879" s="7"/>
      <c r="P879" s="7"/>
      <c r="Q879" s="7"/>
      <c r="R879" s="7"/>
      <c r="S879" s="7"/>
      <c r="T879" s="7"/>
      <c r="U879" s="7"/>
      <c r="V879" s="7"/>
      <c r="W879" s="7"/>
      <c r="X879" s="7"/>
      <c r="Y879" s="7"/>
      <c r="Z879" s="7"/>
      <c r="AA879" s="7"/>
    </row>
    <row r="880">
      <c r="A880" s="242"/>
      <c r="B880" s="242"/>
      <c r="C880" s="177"/>
      <c r="D880" s="177"/>
      <c r="E880" s="177"/>
      <c r="F880" s="177"/>
      <c r="G880" s="177"/>
      <c r="H880" s="148"/>
      <c r="I880" s="7"/>
      <c r="J880" s="7"/>
      <c r="K880" s="7"/>
      <c r="L880" s="7"/>
      <c r="M880" s="7"/>
      <c r="N880" s="7"/>
      <c r="O880" s="7"/>
      <c r="P880" s="7"/>
      <c r="Q880" s="7"/>
      <c r="R880" s="7"/>
      <c r="S880" s="7"/>
      <c r="T880" s="7"/>
      <c r="U880" s="7"/>
      <c r="V880" s="7"/>
      <c r="W880" s="7"/>
      <c r="X880" s="7"/>
      <c r="Y880" s="7"/>
      <c r="Z880" s="7"/>
      <c r="AA880" s="7"/>
    </row>
    <row r="881">
      <c r="A881" s="242"/>
      <c r="B881" s="242"/>
      <c r="C881" s="177"/>
      <c r="D881" s="177"/>
      <c r="E881" s="177"/>
      <c r="F881" s="177"/>
      <c r="G881" s="177"/>
      <c r="H881" s="148"/>
      <c r="I881" s="7"/>
      <c r="J881" s="7"/>
      <c r="K881" s="7"/>
      <c r="L881" s="7"/>
      <c r="M881" s="7"/>
      <c r="N881" s="7"/>
      <c r="O881" s="7"/>
      <c r="P881" s="7"/>
      <c r="Q881" s="7"/>
      <c r="R881" s="7"/>
      <c r="S881" s="7"/>
      <c r="T881" s="7"/>
      <c r="U881" s="7"/>
      <c r="V881" s="7"/>
      <c r="W881" s="7"/>
      <c r="X881" s="7"/>
      <c r="Y881" s="7"/>
      <c r="Z881" s="7"/>
      <c r="AA881" s="7"/>
    </row>
    <row r="882">
      <c r="A882" s="242"/>
      <c r="B882" s="242"/>
      <c r="C882" s="177"/>
      <c r="D882" s="177"/>
      <c r="E882" s="177"/>
      <c r="F882" s="177"/>
      <c r="G882" s="177"/>
      <c r="H882" s="148"/>
      <c r="I882" s="7"/>
      <c r="J882" s="7"/>
      <c r="K882" s="7"/>
      <c r="L882" s="7"/>
      <c r="M882" s="7"/>
      <c r="N882" s="7"/>
      <c r="O882" s="7"/>
      <c r="P882" s="7"/>
      <c r="Q882" s="7"/>
      <c r="R882" s="7"/>
      <c r="S882" s="7"/>
      <c r="T882" s="7"/>
      <c r="U882" s="7"/>
      <c r="V882" s="7"/>
      <c r="W882" s="7"/>
      <c r="X882" s="7"/>
      <c r="Y882" s="7"/>
      <c r="Z882" s="7"/>
      <c r="AA882" s="7"/>
    </row>
    <row r="883">
      <c r="A883" s="242"/>
      <c r="B883" s="242"/>
      <c r="C883" s="177"/>
      <c r="D883" s="177"/>
      <c r="E883" s="177"/>
      <c r="F883" s="177"/>
      <c r="G883" s="177"/>
      <c r="H883" s="148"/>
      <c r="I883" s="7"/>
      <c r="J883" s="7"/>
      <c r="K883" s="7"/>
      <c r="L883" s="7"/>
      <c r="M883" s="7"/>
      <c r="N883" s="7"/>
      <c r="O883" s="7"/>
      <c r="P883" s="7"/>
      <c r="Q883" s="7"/>
      <c r="R883" s="7"/>
      <c r="S883" s="7"/>
      <c r="T883" s="7"/>
      <c r="U883" s="7"/>
      <c r="V883" s="7"/>
      <c r="W883" s="7"/>
      <c r="X883" s="7"/>
      <c r="Y883" s="7"/>
      <c r="Z883" s="7"/>
      <c r="AA883" s="7"/>
    </row>
    <row r="884">
      <c r="A884" s="242"/>
      <c r="B884" s="242"/>
      <c r="C884" s="177"/>
      <c r="D884" s="177"/>
      <c r="E884" s="177"/>
      <c r="F884" s="177"/>
      <c r="G884" s="177"/>
      <c r="H884" s="148"/>
      <c r="I884" s="7"/>
      <c r="J884" s="7"/>
      <c r="K884" s="7"/>
      <c r="L884" s="7"/>
      <c r="M884" s="7"/>
      <c r="N884" s="7"/>
      <c r="O884" s="7"/>
      <c r="P884" s="7"/>
      <c r="Q884" s="7"/>
      <c r="R884" s="7"/>
      <c r="S884" s="7"/>
      <c r="T884" s="7"/>
      <c r="U884" s="7"/>
      <c r="V884" s="7"/>
      <c r="W884" s="7"/>
      <c r="X884" s="7"/>
      <c r="Y884" s="7"/>
      <c r="Z884" s="7"/>
      <c r="AA884" s="7"/>
    </row>
    <row r="885">
      <c r="A885" s="242"/>
      <c r="B885" s="242"/>
      <c r="C885" s="177"/>
      <c r="D885" s="177"/>
      <c r="E885" s="177"/>
      <c r="F885" s="177"/>
      <c r="G885" s="177"/>
      <c r="H885" s="148"/>
      <c r="I885" s="7"/>
      <c r="J885" s="7"/>
      <c r="K885" s="7"/>
      <c r="L885" s="7"/>
      <c r="M885" s="7"/>
      <c r="N885" s="7"/>
      <c r="O885" s="7"/>
      <c r="P885" s="7"/>
      <c r="Q885" s="7"/>
      <c r="R885" s="7"/>
      <c r="S885" s="7"/>
      <c r="T885" s="7"/>
      <c r="U885" s="7"/>
      <c r="V885" s="7"/>
      <c r="W885" s="7"/>
      <c r="X885" s="7"/>
      <c r="Y885" s="7"/>
      <c r="Z885" s="7"/>
      <c r="AA885" s="7"/>
    </row>
    <row r="886">
      <c r="A886" s="242"/>
      <c r="B886" s="242"/>
      <c r="C886" s="177"/>
      <c r="D886" s="177"/>
      <c r="E886" s="177"/>
      <c r="F886" s="177"/>
      <c r="G886" s="177"/>
      <c r="H886" s="148"/>
      <c r="I886" s="7"/>
      <c r="J886" s="7"/>
      <c r="K886" s="7"/>
      <c r="L886" s="7"/>
      <c r="M886" s="7"/>
      <c r="N886" s="7"/>
      <c r="O886" s="7"/>
      <c r="P886" s="7"/>
      <c r="Q886" s="7"/>
      <c r="R886" s="7"/>
      <c r="S886" s="7"/>
      <c r="T886" s="7"/>
      <c r="U886" s="7"/>
      <c r="V886" s="7"/>
      <c r="W886" s="7"/>
      <c r="X886" s="7"/>
      <c r="Y886" s="7"/>
      <c r="Z886" s="7"/>
      <c r="AA886" s="7"/>
    </row>
    <row r="887">
      <c r="A887" s="242"/>
      <c r="B887" s="242"/>
      <c r="C887" s="177"/>
      <c r="D887" s="177"/>
      <c r="E887" s="177"/>
      <c r="F887" s="177"/>
      <c r="G887" s="177"/>
      <c r="H887" s="148"/>
      <c r="I887" s="7"/>
      <c r="J887" s="7"/>
      <c r="K887" s="7"/>
      <c r="L887" s="7"/>
      <c r="M887" s="7"/>
      <c r="N887" s="7"/>
      <c r="O887" s="7"/>
      <c r="P887" s="7"/>
      <c r="Q887" s="7"/>
      <c r="R887" s="7"/>
      <c r="S887" s="7"/>
      <c r="T887" s="7"/>
      <c r="U887" s="7"/>
      <c r="V887" s="7"/>
      <c r="W887" s="7"/>
      <c r="X887" s="7"/>
      <c r="Y887" s="7"/>
      <c r="Z887" s="7"/>
      <c r="AA887" s="7"/>
    </row>
    <row r="888">
      <c r="A888" s="242"/>
      <c r="B888" s="242"/>
      <c r="C888" s="177"/>
      <c r="D888" s="177"/>
      <c r="E888" s="177"/>
      <c r="F888" s="177"/>
      <c r="G888" s="177"/>
      <c r="H888" s="148"/>
      <c r="I888" s="7"/>
      <c r="J888" s="7"/>
      <c r="K888" s="7"/>
      <c r="L888" s="7"/>
      <c r="M888" s="7"/>
      <c r="N888" s="7"/>
      <c r="O888" s="7"/>
      <c r="P888" s="7"/>
      <c r="Q888" s="7"/>
      <c r="R888" s="7"/>
      <c r="S888" s="7"/>
      <c r="T888" s="7"/>
      <c r="U888" s="7"/>
      <c r="V888" s="7"/>
      <c r="W888" s="7"/>
      <c r="X888" s="7"/>
      <c r="Y888" s="7"/>
      <c r="Z888" s="7"/>
      <c r="AA888" s="7"/>
    </row>
    <row r="889">
      <c r="A889" s="242"/>
      <c r="B889" s="242"/>
      <c r="C889" s="177"/>
      <c r="D889" s="177"/>
      <c r="E889" s="177"/>
      <c r="F889" s="177"/>
      <c r="G889" s="177"/>
      <c r="H889" s="148"/>
      <c r="I889" s="7"/>
      <c r="J889" s="7"/>
      <c r="K889" s="7"/>
      <c r="L889" s="7"/>
      <c r="M889" s="7"/>
      <c r="N889" s="7"/>
      <c r="O889" s="7"/>
      <c r="P889" s="7"/>
      <c r="Q889" s="7"/>
      <c r="R889" s="7"/>
      <c r="S889" s="7"/>
      <c r="T889" s="7"/>
      <c r="U889" s="7"/>
      <c r="V889" s="7"/>
      <c r="W889" s="7"/>
      <c r="X889" s="7"/>
      <c r="Y889" s="7"/>
      <c r="Z889" s="7"/>
      <c r="AA889" s="7"/>
    </row>
    <row r="890">
      <c r="A890" s="242"/>
      <c r="B890" s="242"/>
      <c r="C890" s="177"/>
      <c r="D890" s="177"/>
      <c r="E890" s="177"/>
      <c r="F890" s="177"/>
      <c r="G890" s="177"/>
      <c r="H890" s="148"/>
      <c r="I890" s="7"/>
      <c r="J890" s="7"/>
      <c r="K890" s="7"/>
      <c r="L890" s="7"/>
      <c r="M890" s="7"/>
      <c r="N890" s="7"/>
      <c r="O890" s="7"/>
      <c r="P890" s="7"/>
      <c r="Q890" s="7"/>
      <c r="R890" s="7"/>
      <c r="S890" s="7"/>
      <c r="T890" s="7"/>
      <c r="U890" s="7"/>
      <c r="V890" s="7"/>
      <c r="W890" s="7"/>
      <c r="X890" s="7"/>
      <c r="Y890" s="7"/>
      <c r="Z890" s="7"/>
      <c r="AA890" s="7"/>
    </row>
    <row r="891">
      <c r="A891" s="242"/>
      <c r="B891" s="242"/>
      <c r="C891" s="177"/>
      <c r="D891" s="177"/>
      <c r="E891" s="177"/>
      <c r="F891" s="177"/>
      <c r="G891" s="177"/>
      <c r="H891" s="148"/>
      <c r="I891" s="7"/>
      <c r="J891" s="7"/>
      <c r="K891" s="7"/>
      <c r="L891" s="7"/>
      <c r="M891" s="7"/>
      <c r="N891" s="7"/>
      <c r="O891" s="7"/>
      <c r="P891" s="7"/>
      <c r="Q891" s="7"/>
      <c r="R891" s="7"/>
      <c r="S891" s="7"/>
      <c r="T891" s="7"/>
      <c r="U891" s="7"/>
      <c r="V891" s="7"/>
      <c r="W891" s="7"/>
      <c r="X891" s="7"/>
      <c r="Y891" s="7"/>
      <c r="Z891" s="7"/>
      <c r="AA891" s="7"/>
    </row>
    <row r="892">
      <c r="A892" s="242"/>
      <c r="B892" s="242"/>
      <c r="C892" s="177"/>
      <c r="D892" s="177"/>
      <c r="E892" s="177"/>
      <c r="F892" s="177"/>
      <c r="G892" s="177"/>
      <c r="H892" s="148"/>
      <c r="I892" s="7"/>
      <c r="J892" s="7"/>
      <c r="K892" s="7"/>
      <c r="L892" s="7"/>
      <c r="M892" s="7"/>
      <c r="N892" s="7"/>
      <c r="O892" s="7"/>
      <c r="P892" s="7"/>
      <c r="Q892" s="7"/>
      <c r="R892" s="7"/>
      <c r="S892" s="7"/>
      <c r="T892" s="7"/>
      <c r="U892" s="7"/>
      <c r="V892" s="7"/>
      <c r="W892" s="7"/>
      <c r="X892" s="7"/>
      <c r="Y892" s="7"/>
      <c r="Z892" s="7"/>
      <c r="AA892" s="7"/>
    </row>
    <row r="893">
      <c r="A893" s="242"/>
      <c r="B893" s="242"/>
      <c r="C893" s="177"/>
      <c r="D893" s="177"/>
      <c r="E893" s="177"/>
      <c r="F893" s="177"/>
      <c r="G893" s="177"/>
      <c r="H893" s="148"/>
      <c r="I893" s="7"/>
      <c r="J893" s="7"/>
      <c r="K893" s="7"/>
      <c r="L893" s="7"/>
      <c r="M893" s="7"/>
      <c r="N893" s="7"/>
      <c r="O893" s="7"/>
      <c r="P893" s="7"/>
      <c r="Q893" s="7"/>
      <c r="R893" s="7"/>
      <c r="S893" s="7"/>
      <c r="T893" s="7"/>
      <c r="U893" s="7"/>
      <c r="V893" s="7"/>
      <c r="W893" s="7"/>
      <c r="X893" s="7"/>
      <c r="Y893" s="7"/>
      <c r="Z893" s="7"/>
      <c r="AA893" s="7"/>
    </row>
    <row r="894">
      <c r="A894" s="242"/>
      <c r="B894" s="242"/>
      <c r="C894" s="177"/>
      <c r="D894" s="177"/>
      <c r="E894" s="177"/>
      <c r="F894" s="177"/>
      <c r="G894" s="177"/>
      <c r="H894" s="148"/>
      <c r="I894" s="7"/>
      <c r="J894" s="7"/>
      <c r="K894" s="7"/>
      <c r="L894" s="7"/>
      <c r="M894" s="7"/>
      <c r="N894" s="7"/>
      <c r="O894" s="7"/>
      <c r="P894" s="7"/>
      <c r="Q894" s="7"/>
      <c r="R894" s="7"/>
      <c r="S894" s="7"/>
      <c r="T894" s="7"/>
      <c r="U894" s="7"/>
      <c r="V894" s="7"/>
      <c r="W894" s="7"/>
      <c r="X894" s="7"/>
      <c r="Y894" s="7"/>
      <c r="Z894" s="7"/>
      <c r="AA894" s="7"/>
    </row>
    <row r="895">
      <c r="A895" s="242"/>
      <c r="B895" s="242"/>
      <c r="C895" s="177"/>
      <c r="D895" s="177"/>
      <c r="E895" s="177"/>
      <c r="F895" s="177"/>
      <c r="G895" s="177"/>
      <c r="H895" s="148"/>
      <c r="I895" s="7"/>
      <c r="J895" s="7"/>
      <c r="K895" s="7"/>
      <c r="L895" s="7"/>
      <c r="M895" s="7"/>
      <c r="N895" s="7"/>
      <c r="O895" s="7"/>
      <c r="P895" s="7"/>
      <c r="Q895" s="7"/>
      <c r="R895" s="7"/>
      <c r="S895" s="7"/>
      <c r="T895" s="7"/>
      <c r="U895" s="7"/>
      <c r="V895" s="7"/>
      <c r="W895" s="7"/>
      <c r="X895" s="7"/>
      <c r="Y895" s="7"/>
      <c r="Z895" s="7"/>
      <c r="AA895" s="7"/>
    </row>
    <row r="896">
      <c r="A896" s="242"/>
      <c r="B896" s="242"/>
      <c r="C896" s="177"/>
      <c r="D896" s="177"/>
      <c r="E896" s="177"/>
      <c r="F896" s="177"/>
      <c r="G896" s="177"/>
      <c r="H896" s="148"/>
      <c r="I896" s="7"/>
      <c r="J896" s="7"/>
      <c r="K896" s="7"/>
      <c r="L896" s="7"/>
      <c r="M896" s="7"/>
      <c r="N896" s="7"/>
      <c r="O896" s="7"/>
      <c r="P896" s="7"/>
      <c r="Q896" s="7"/>
      <c r="R896" s="7"/>
      <c r="S896" s="7"/>
      <c r="T896" s="7"/>
      <c r="U896" s="7"/>
      <c r="V896" s="7"/>
      <c r="W896" s="7"/>
      <c r="X896" s="7"/>
      <c r="Y896" s="7"/>
      <c r="Z896" s="7"/>
      <c r="AA896" s="7"/>
    </row>
    <row r="897">
      <c r="A897" s="242"/>
      <c r="B897" s="242"/>
      <c r="C897" s="177"/>
      <c r="D897" s="177"/>
      <c r="E897" s="177"/>
      <c r="F897" s="177"/>
      <c r="G897" s="177"/>
      <c r="H897" s="148"/>
      <c r="I897" s="7"/>
      <c r="J897" s="7"/>
      <c r="K897" s="7"/>
      <c r="L897" s="7"/>
      <c r="M897" s="7"/>
      <c r="N897" s="7"/>
      <c r="O897" s="7"/>
      <c r="P897" s="7"/>
      <c r="Q897" s="7"/>
      <c r="R897" s="7"/>
      <c r="S897" s="7"/>
      <c r="T897" s="7"/>
      <c r="U897" s="7"/>
      <c r="V897" s="7"/>
      <c r="W897" s="7"/>
      <c r="X897" s="7"/>
      <c r="Y897" s="7"/>
      <c r="Z897" s="7"/>
      <c r="AA897" s="7"/>
    </row>
    <row r="898">
      <c r="A898" s="242"/>
      <c r="B898" s="242"/>
      <c r="C898" s="177"/>
      <c r="D898" s="177"/>
      <c r="E898" s="177"/>
      <c r="F898" s="177"/>
      <c r="G898" s="177"/>
      <c r="H898" s="148"/>
      <c r="I898" s="7"/>
      <c r="J898" s="7"/>
      <c r="K898" s="7"/>
      <c r="L898" s="7"/>
      <c r="M898" s="7"/>
      <c r="N898" s="7"/>
      <c r="O898" s="7"/>
      <c r="P898" s="7"/>
      <c r="Q898" s="7"/>
      <c r="R898" s="7"/>
      <c r="S898" s="7"/>
      <c r="T898" s="7"/>
      <c r="U898" s="7"/>
      <c r="V898" s="7"/>
      <c r="W898" s="7"/>
      <c r="X898" s="7"/>
      <c r="Y898" s="7"/>
      <c r="Z898" s="7"/>
      <c r="AA898" s="7"/>
    </row>
    <row r="899">
      <c r="A899" s="242"/>
      <c r="B899" s="242"/>
      <c r="C899" s="177"/>
      <c r="D899" s="177"/>
      <c r="E899" s="177"/>
      <c r="F899" s="177"/>
      <c r="G899" s="177"/>
      <c r="H899" s="148"/>
      <c r="I899" s="7"/>
      <c r="J899" s="7"/>
      <c r="K899" s="7"/>
      <c r="L899" s="7"/>
      <c r="M899" s="7"/>
      <c r="N899" s="7"/>
      <c r="O899" s="7"/>
      <c r="P899" s="7"/>
      <c r="Q899" s="7"/>
      <c r="R899" s="7"/>
      <c r="S899" s="7"/>
      <c r="T899" s="7"/>
      <c r="U899" s="7"/>
      <c r="V899" s="7"/>
      <c r="W899" s="7"/>
      <c r="X899" s="7"/>
      <c r="Y899" s="7"/>
      <c r="Z899" s="7"/>
      <c r="AA899" s="7"/>
    </row>
    <row r="900">
      <c r="A900" s="242"/>
      <c r="B900" s="242"/>
      <c r="C900" s="177"/>
      <c r="D900" s="177"/>
      <c r="E900" s="177"/>
      <c r="F900" s="177"/>
      <c r="G900" s="177"/>
      <c r="H900" s="148"/>
      <c r="I900" s="7"/>
      <c r="J900" s="7"/>
      <c r="K900" s="7"/>
      <c r="L900" s="7"/>
      <c r="M900" s="7"/>
      <c r="N900" s="7"/>
      <c r="O900" s="7"/>
      <c r="P900" s="7"/>
      <c r="Q900" s="7"/>
      <c r="R900" s="7"/>
      <c r="S900" s="7"/>
      <c r="T900" s="7"/>
      <c r="U900" s="7"/>
      <c r="V900" s="7"/>
      <c r="W900" s="7"/>
      <c r="X900" s="7"/>
      <c r="Y900" s="7"/>
      <c r="Z900" s="7"/>
      <c r="AA900" s="7"/>
    </row>
    <row r="901">
      <c r="A901" s="242"/>
      <c r="B901" s="242"/>
      <c r="C901" s="177"/>
      <c r="D901" s="177"/>
      <c r="E901" s="177"/>
      <c r="F901" s="177"/>
      <c r="G901" s="177"/>
      <c r="H901" s="148"/>
      <c r="I901" s="7"/>
      <c r="J901" s="7"/>
      <c r="K901" s="7"/>
      <c r="L901" s="7"/>
      <c r="M901" s="7"/>
      <c r="N901" s="7"/>
      <c r="O901" s="7"/>
      <c r="P901" s="7"/>
      <c r="Q901" s="7"/>
      <c r="R901" s="7"/>
      <c r="S901" s="7"/>
      <c r="T901" s="7"/>
      <c r="U901" s="7"/>
      <c r="V901" s="7"/>
      <c r="W901" s="7"/>
      <c r="X901" s="7"/>
      <c r="Y901" s="7"/>
      <c r="Z901" s="7"/>
      <c r="AA901" s="7"/>
    </row>
    <row r="902">
      <c r="A902" s="242"/>
      <c r="B902" s="242"/>
      <c r="C902" s="177"/>
      <c r="D902" s="177"/>
      <c r="E902" s="177"/>
      <c r="F902" s="177"/>
      <c r="G902" s="177"/>
      <c r="H902" s="148"/>
      <c r="I902" s="7"/>
      <c r="J902" s="7"/>
      <c r="K902" s="7"/>
      <c r="L902" s="7"/>
      <c r="M902" s="7"/>
      <c r="N902" s="7"/>
      <c r="O902" s="7"/>
      <c r="P902" s="7"/>
      <c r="Q902" s="7"/>
      <c r="R902" s="7"/>
      <c r="S902" s="7"/>
      <c r="T902" s="7"/>
      <c r="U902" s="7"/>
      <c r="V902" s="7"/>
      <c r="W902" s="7"/>
      <c r="X902" s="7"/>
      <c r="Y902" s="7"/>
      <c r="Z902" s="7"/>
      <c r="AA902" s="7"/>
    </row>
    <row r="903">
      <c r="A903" s="242"/>
      <c r="B903" s="242"/>
      <c r="C903" s="177"/>
      <c r="D903" s="177"/>
      <c r="E903" s="177"/>
      <c r="F903" s="177"/>
      <c r="G903" s="177"/>
      <c r="H903" s="148"/>
      <c r="I903" s="7"/>
      <c r="J903" s="7"/>
      <c r="K903" s="7"/>
      <c r="L903" s="7"/>
      <c r="M903" s="7"/>
      <c r="N903" s="7"/>
      <c r="O903" s="7"/>
      <c r="P903" s="7"/>
      <c r="Q903" s="7"/>
      <c r="R903" s="7"/>
      <c r="S903" s="7"/>
      <c r="T903" s="7"/>
      <c r="U903" s="7"/>
      <c r="V903" s="7"/>
      <c r="W903" s="7"/>
      <c r="X903" s="7"/>
      <c r="Y903" s="7"/>
      <c r="Z903" s="7"/>
      <c r="AA903" s="7"/>
    </row>
    <row r="904">
      <c r="A904" s="242"/>
      <c r="B904" s="242"/>
      <c r="C904" s="177"/>
      <c r="D904" s="177"/>
      <c r="E904" s="177"/>
      <c r="F904" s="177"/>
      <c r="G904" s="177"/>
      <c r="H904" s="148"/>
      <c r="I904" s="7"/>
      <c r="J904" s="7"/>
      <c r="K904" s="7"/>
      <c r="L904" s="7"/>
      <c r="M904" s="7"/>
      <c r="N904" s="7"/>
      <c r="O904" s="7"/>
      <c r="P904" s="7"/>
      <c r="Q904" s="7"/>
      <c r="R904" s="7"/>
      <c r="S904" s="7"/>
      <c r="T904" s="7"/>
      <c r="U904" s="7"/>
      <c r="V904" s="7"/>
      <c r="W904" s="7"/>
      <c r="X904" s="7"/>
      <c r="Y904" s="7"/>
      <c r="Z904" s="7"/>
      <c r="AA904" s="7"/>
    </row>
    <row r="905">
      <c r="A905" s="242"/>
      <c r="B905" s="242"/>
      <c r="C905" s="177"/>
      <c r="D905" s="177"/>
      <c r="E905" s="177"/>
      <c r="F905" s="177"/>
      <c r="G905" s="177"/>
      <c r="H905" s="148"/>
      <c r="I905" s="7"/>
      <c r="J905" s="7"/>
      <c r="K905" s="7"/>
      <c r="L905" s="7"/>
      <c r="M905" s="7"/>
      <c r="N905" s="7"/>
      <c r="O905" s="7"/>
      <c r="P905" s="7"/>
      <c r="Q905" s="7"/>
      <c r="R905" s="7"/>
      <c r="S905" s="7"/>
      <c r="T905" s="7"/>
      <c r="U905" s="7"/>
      <c r="V905" s="7"/>
      <c r="W905" s="7"/>
      <c r="X905" s="7"/>
      <c r="Y905" s="7"/>
      <c r="Z905" s="7"/>
      <c r="AA905" s="7"/>
    </row>
    <row r="906">
      <c r="A906" s="242"/>
      <c r="B906" s="242"/>
      <c r="C906" s="177"/>
      <c r="D906" s="177"/>
      <c r="E906" s="177"/>
      <c r="F906" s="177"/>
      <c r="G906" s="177"/>
      <c r="H906" s="148"/>
      <c r="I906" s="7"/>
      <c r="J906" s="7"/>
      <c r="K906" s="7"/>
      <c r="L906" s="7"/>
      <c r="M906" s="7"/>
      <c r="N906" s="7"/>
      <c r="O906" s="7"/>
      <c r="P906" s="7"/>
      <c r="Q906" s="7"/>
      <c r="R906" s="7"/>
      <c r="S906" s="7"/>
      <c r="T906" s="7"/>
      <c r="U906" s="7"/>
      <c r="V906" s="7"/>
      <c r="W906" s="7"/>
      <c r="X906" s="7"/>
      <c r="Y906" s="7"/>
      <c r="Z906" s="7"/>
      <c r="AA906" s="7"/>
    </row>
    <row r="907">
      <c r="A907" s="242"/>
      <c r="B907" s="242"/>
      <c r="C907" s="177"/>
      <c r="D907" s="177"/>
      <c r="E907" s="177"/>
      <c r="F907" s="177"/>
      <c r="G907" s="177"/>
      <c r="H907" s="148"/>
      <c r="I907" s="7"/>
      <c r="J907" s="7"/>
      <c r="K907" s="7"/>
      <c r="L907" s="7"/>
      <c r="M907" s="7"/>
      <c r="N907" s="7"/>
      <c r="O907" s="7"/>
      <c r="P907" s="7"/>
      <c r="Q907" s="7"/>
      <c r="R907" s="7"/>
      <c r="S907" s="7"/>
      <c r="T907" s="7"/>
      <c r="U907" s="7"/>
      <c r="V907" s="7"/>
      <c r="W907" s="7"/>
      <c r="X907" s="7"/>
      <c r="Y907" s="7"/>
      <c r="Z907" s="7"/>
      <c r="AA907" s="7"/>
    </row>
    <row r="908">
      <c r="A908" s="242"/>
      <c r="B908" s="242"/>
      <c r="C908" s="177"/>
      <c r="D908" s="177"/>
      <c r="E908" s="177"/>
      <c r="F908" s="177"/>
      <c r="G908" s="177"/>
      <c r="H908" s="148"/>
      <c r="I908" s="7"/>
      <c r="J908" s="7"/>
      <c r="K908" s="7"/>
      <c r="L908" s="7"/>
      <c r="M908" s="7"/>
      <c r="N908" s="7"/>
      <c r="O908" s="7"/>
      <c r="P908" s="7"/>
      <c r="Q908" s="7"/>
      <c r="R908" s="7"/>
      <c r="S908" s="7"/>
      <c r="T908" s="7"/>
      <c r="U908" s="7"/>
      <c r="V908" s="7"/>
      <c r="W908" s="7"/>
      <c r="X908" s="7"/>
      <c r="Y908" s="7"/>
      <c r="Z908" s="7"/>
      <c r="AA908" s="7"/>
    </row>
    <row r="909">
      <c r="A909" s="242"/>
      <c r="B909" s="242"/>
      <c r="C909" s="177"/>
      <c r="D909" s="177"/>
      <c r="E909" s="177"/>
      <c r="F909" s="177"/>
      <c r="G909" s="177"/>
      <c r="H909" s="148"/>
      <c r="I909" s="7"/>
      <c r="J909" s="7"/>
      <c r="K909" s="7"/>
      <c r="L909" s="7"/>
      <c r="M909" s="7"/>
      <c r="N909" s="7"/>
      <c r="O909" s="7"/>
      <c r="P909" s="7"/>
      <c r="Q909" s="7"/>
      <c r="R909" s="7"/>
      <c r="S909" s="7"/>
      <c r="T909" s="7"/>
      <c r="U909" s="7"/>
      <c r="V909" s="7"/>
      <c r="W909" s="7"/>
      <c r="X909" s="7"/>
      <c r="Y909" s="7"/>
      <c r="Z909" s="7"/>
      <c r="AA909" s="7"/>
    </row>
    <row r="910">
      <c r="A910" s="242"/>
      <c r="B910" s="242"/>
      <c r="C910" s="177"/>
      <c r="D910" s="177"/>
      <c r="E910" s="177"/>
      <c r="F910" s="177"/>
      <c r="G910" s="177"/>
      <c r="H910" s="148"/>
      <c r="I910" s="7"/>
      <c r="J910" s="7"/>
      <c r="K910" s="7"/>
      <c r="L910" s="7"/>
      <c r="M910" s="7"/>
      <c r="N910" s="7"/>
      <c r="O910" s="7"/>
      <c r="P910" s="7"/>
      <c r="Q910" s="7"/>
      <c r="R910" s="7"/>
      <c r="S910" s="7"/>
      <c r="T910" s="7"/>
      <c r="U910" s="7"/>
      <c r="V910" s="7"/>
      <c r="W910" s="7"/>
      <c r="X910" s="7"/>
      <c r="Y910" s="7"/>
      <c r="Z910" s="7"/>
      <c r="AA910" s="7"/>
    </row>
    <row r="911">
      <c r="A911" s="242"/>
      <c r="B911" s="242"/>
      <c r="C911" s="177"/>
      <c r="D911" s="177"/>
      <c r="E911" s="177"/>
      <c r="F911" s="177"/>
      <c r="G911" s="177"/>
      <c r="H911" s="148"/>
      <c r="I911" s="7"/>
      <c r="J911" s="7"/>
      <c r="K911" s="7"/>
      <c r="L911" s="7"/>
      <c r="M911" s="7"/>
      <c r="N911" s="7"/>
      <c r="O911" s="7"/>
      <c r="P911" s="7"/>
      <c r="Q911" s="7"/>
      <c r="R911" s="7"/>
      <c r="S911" s="7"/>
      <c r="T911" s="7"/>
      <c r="U911" s="7"/>
      <c r="V911" s="7"/>
      <c r="W911" s="7"/>
      <c r="X911" s="7"/>
      <c r="Y911" s="7"/>
      <c r="Z911" s="7"/>
      <c r="AA911" s="7"/>
    </row>
    <row r="912">
      <c r="A912" s="242"/>
      <c r="B912" s="242"/>
      <c r="C912" s="177"/>
      <c r="D912" s="177"/>
      <c r="E912" s="177"/>
      <c r="F912" s="177"/>
      <c r="G912" s="177"/>
      <c r="H912" s="148"/>
      <c r="I912" s="7"/>
      <c r="J912" s="7"/>
      <c r="K912" s="7"/>
      <c r="L912" s="7"/>
      <c r="M912" s="7"/>
      <c r="N912" s="7"/>
      <c r="O912" s="7"/>
      <c r="P912" s="7"/>
      <c r="Q912" s="7"/>
      <c r="R912" s="7"/>
      <c r="S912" s="7"/>
      <c r="T912" s="7"/>
      <c r="U912" s="7"/>
      <c r="V912" s="7"/>
      <c r="W912" s="7"/>
      <c r="X912" s="7"/>
      <c r="Y912" s="7"/>
      <c r="Z912" s="7"/>
      <c r="AA912" s="7"/>
    </row>
    <row r="913">
      <c r="A913" s="242"/>
      <c r="B913" s="242"/>
      <c r="C913" s="177"/>
      <c r="D913" s="177"/>
      <c r="E913" s="177"/>
      <c r="F913" s="177"/>
      <c r="G913" s="177"/>
      <c r="H913" s="148"/>
      <c r="I913" s="7"/>
      <c r="J913" s="7"/>
      <c r="K913" s="7"/>
      <c r="L913" s="7"/>
      <c r="M913" s="7"/>
      <c r="N913" s="7"/>
      <c r="O913" s="7"/>
      <c r="P913" s="7"/>
      <c r="Q913" s="7"/>
      <c r="R913" s="7"/>
      <c r="S913" s="7"/>
      <c r="T913" s="7"/>
      <c r="U913" s="7"/>
      <c r="V913" s="7"/>
      <c r="W913" s="7"/>
      <c r="X913" s="7"/>
      <c r="Y913" s="7"/>
      <c r="Z913" s="7"/>
      <c r="AA913" s="7"/>
    </row>
    <row r="914">
      <c r="A914" s="242"/>
      <c r="B914" s="242"/>
      <c r="C914" s="177"/>
      <c r="D914" s="177"/>
      <c r="E914" s="177"/>
      <c r="F914" s="177"/>
      <c r="G914" s="177"/>
      <c r="H914" s="148"/>
      <c r="I914" s="7"/>
      <c r="J914" s="7"/>
      <c r="K914" s="7"/>
      <c r="L914" s="7"/>
      <c r="M914" s="7"/>
      <c r="N914" s="7"/>
      <c r="O914" s="7"/>
      <c r="P914" s="7"/>
      <c r="Q914" s="7"/>
      <c r="R914" s="7"/>
      <c r="S914" s="7"/>
      <c r="T914" s="7"/>
      <c r="U914" s="7"/>
      <c r="V914" s="7"/>
      <c r="W914" s="7"/>
      <c r="X914" s="7"/>
      <c r="Y914" s="7"/>
      <c r="Z914" s="7"/>
      <c r="AA914" s="7"/>
    </row>
    <row r="915">
      <c r="A915" s="242"/>
      <c r="B915" s="242"/>
      <c r="C915" s="177"/>
      <c r="D915" s="177"/>
      <c r="E915" s="177"/>
      <c r="F915" s="177"/>
      <c r="G915" s="177"/>
      <c r="H915" s="148"/>
      <c r="I915" s="7"/>
      <c r="J915" s="7"/>
      <c r="K915" s="7"/>
      <c r="L915" s="7"/>
      <c r="M915" s="7"/>
      <c r="N915" s="7"/>
      <c r="O915" s="7"/>
      <c r="P915" s="7"/>
      <c r="Q915" s="7"/>
      <c r="R915" s="7"/>
      <c r="S915" s="7"/>
      <c r="T915" s="7"/>
      <c r="U915" s="7"/>
      <c r="V915" s="7"/>
      <c r="W915" s="7"/>
      <c r="X915" s="7"/>
      <c r="Y915" s="7"/>
      <c r="Z915" s="7"/>
      <c r="AA915" s="7"/>
    </row>
    <row r="916">
      <c r="A916" s="242"/>
      <c r="B916" s="242"/>
      <c r="C916" s="177"/>
      <c r="D916" s="177"/>
      <c r="E916" s="177"/>
      <c r="F916" s="177"/>
      <c r="G916" s="177"/>
      <c r="H916" s="148"/>
      <c r="I916" s="7"/>
      <c r="J916" s="7"/>
      <c r="K916" s="7"/>
      <c r="L916" s="7"/>
      <c r="M916" s="7"/>
      <c r="N916" s="7"/>
      <c r="O916" s="7"/>
      <c r="P916" s="7"/>
      <c r="Q916" s="7"/>
      <c r="R916" s="7"/>
      <c r="S916" s="7"/>
      <c r="T916" s="7"/>
      <c r="U916" s="7"/>
      <c r="V916" s="7"/>
      <c r="W916" s="7"/>
      <c r="X916" s="7"/>
      <c r="Y916" s="7"/>
      <c r="Z916" s="7"/>
      <c r="AA916" s="7"/>
    </row>
    <row r="917">
      <c r="A917" s="242"/>
      <c r="B917" s="242"/>
      <c r="C917" s="177"/>
      <c r="D917" s="177"/>
      <c r="E917" s="177"/>
      <c r="F917" s="177"/>
      <c r="G917" s="177"/>
      <c r="H917" s="148"/>
      <c r="I917" s="7"/>
      <c r="J917" s="7"/>
      <c r="K917" s="7"/>
      <c r="L917" s="7"/>
      <c r="M917" s="7"/>
      <c r="N917" s="7"/>
      <c r="O917" s="7"/>
      <c r="P917" s="7"/>
      <c r="Q917" s="7"/>
      <c r="R917" s="7"/>
      <c r="S917" s="7"/>
      <c r="T917" s="7"/>
      <c r="U917" s="7"/>
      <c r="V917" s="7"/>
      <c r="W917" s="7"/>
      <c r="X917" s="7"/>
      <c r="Y917" s="7"/>
      <c r="Z917" s="7"/>
      <c r="AA917" s="7"/>
    </row>
    <row r="918">
      <c r="A918" s="242"/>
      <c r="B918" s="242"/>
      <c r="C918" s="177"/>
      <c r="D918" s="177"/>
      <c r="E918" s="177"/>
      <c r="F918" s="177"/>
      <c r="G918" s="177"/>
      <c r="H918" s="148"/>
      <c r="I918" s="7"/>
      <c r="J918" s="7"/>
      <c r="K918" s="7"/>
      <c r="L918" s="7"/>
      <c r="M918" s="7"/>
      <c r="N918" s="7"/>
      <c r="O918" s="7"/>
      <c r="P918" s="7"/>
      <c r="Q918" s="7"/>
      <c r="R918" s="7"/>
      <c r="S918" s="7"/>
      <c r="T918" s="7"/>
      <c r="U918" s="7"/>
      <c r="V918" s="7"/>
      <c r="W918" s="7"/>
      <c r="X918" s="7"/>
      <c r="Y918" s="7"/>
      <c r="Z918" s="7"/>
      <c r="AA918" s="7"/>
    </row>
    <row r="919">
      <c r="A919" s="242"/>
      <c r="B919" s="242"/>
      <c r="C919" s="177"/>
      <c r="D919" s="177"/>
      <c r="E919" s="177"/>
      <c r="F919" s="177"/>
      <c r="G919" s="177"/>
      <c r="H919" s="148"/>
      <c r="I919" s="7"/>
      <c r="J919" s="7"/>
      <c r="K919" s="7"/>
      <c r="L919" s="7"/>
      <c r="M919" s="7"/>
      <c r="N919" s="7"/>
      <c r="O919" s="7"/>
      <c r="P919" s="7"/>
      <c r="Q919" s="7"/>
      <c r="R919" s="7"/>
      <c r="S919" s="7"/>
      <c r="T919" s="7"/>
      <c r="U919" s="7"/>
      <c r="V919" s="7"/>
      <c r="W919" s="7"/>
      <c r="X919" s="7"/>
      <c r="Y919" s="7"/>
      <c r="Z919" s="7"/>
      <c r="AA919" s="7"/>
    </row>
    <row r="920">
      <c r="A920" s="242"/>
      <c r="B920" s="242"/>
      <c r="C920" s="177"/>
      <c r="D920" s="177"/>
      <c r="E920" s="177"/>
      <c r="F920" s="177"/>
      <c r="G920" s="177"/>
      <c r="H920" s="148"/>
      <c r="I920" s="7"/>
      <c r="J920" s="7"/>
      <c r="K920" s="7"/>
      <c r="L920" s="7"/>
      <c r="M920" s="7"/>
      <c r="N920" s="7"/>
      <c r="O920" s="7"/>
      <c r="P920" s="7"/>
      <c r="Q920" s="7"/>
      <c r="R920" s="7"/>
      <c r="S920" s="7"/>
      <c r="T920" s="7"/>
      <c r="U920" s="7"/>
      <c r="V920" s="7"/>
      <c r="W920" s="7"/>
      <c r="X920" s="7"/>
      <c r="Y920" s="7"/>
      <c r="Z920" s="7"/>
      <c r="AA920" s="7"/>
    </row>
    <row r="921">
      <c r="A921" s="242"/>
      <c r="B921" s="242"/>
      <c r="C921" s="177"/>
      <c r="D921" s="177"/>
      <c r="E921" s="177"/>
      <c r="F921" s="177"/>
      <c r="G921" s="177"/>
      <c r="H921" s="148"/>
      <c r="I921" s="7"/>
      <c r="J921" s="7"/>
      <c r="K921" s="7"/>
      <c r="L921" s="7"/>
      <c r="M921" s="7"/>
      <c r="N921" s="7"/>
      <c r="O921" s="7"/>
      <c r="P921" s="7"/>
      <c r="Q921" s="7"/>
      <c r="R921" s="7"/>
      <c r="S921" s="7"/>
      <c r="T921" s="7"/>
      <c r="U921" s="7"/>
      <c r="V921" s="7"/>
      <c r="W921" s="7"/>
      <c r="X921" s="7"/>
      <c r="Y921" s="7"/>
      <c r="Z921" s="7"/>
      <c r="AA921" s="7"/>
    </row>
    <row r="922">
      <c r="A922" s="242"/>
      <c r="B922" s="242"/>
      <c r="C922" s="177"/>
      <c r="D922" s="177"/>
      <c r="E922" s="177"/>
      <c r="F922" s="177"/>
      <c r="G922" s="177"/>
      <c r="H922" s="148"/>
      <c r="I922" s="7"/>
      <c r="J922" s="7"/>
      <c r="K922" s="7"/>
      <c r="L922" s="7"/>
      <c r="M922" s="7"/>
      <c r="N922" s="7"/>
      <c r="O922" s="7"/>
      <c r="P922" s="7"/>
      <c r="Q922" s="7"/>
      <c r="R922" s="7"/>
      <c r="S922" s="7"/>
      <c r="T922" s="7"/>
      <c r="U922" s="7"/>
      <c r="V922" s="7"/>
      <c r="W922" s="7"/>
      <c r="X922" s="7"/>
      <c r="Y922" s="7"/>
      <c r="Z922" s="7"/>
      <c r="AA922" s="7"/>
    </row>
    <row r="923">
      <c r="A923" s="242"/>
      <c r="B923" s="242"/>
      <c r="C923" s="177"/>
      <c r="D923" s="177"/>
      <c r="E923" s="177"/>
      <c r="F923" s="177"/>
      <c r="G923" s="177"/>
      <c r="H923" s="148"/>
      <c r="I923" s="7"/>
      <c r="J923" s="7"/>
      <c r="K923" s="7"/>
      <c r="L923" s="7"/>
      <c r="M923" s="7"/>
      <c r="N923" s="7"/>
      <c r="O923" s="7"/>
      <c r="P923" s="7"/>
      <c r="Q923" s="7"/>
      <c r="R923" s="7"/>
      <c r="S923" s="7"/>
      <c r="T923" s="7"/>
      <c r="U923" s="7"/>
      <c r="V923" s="7"/>
      <c r="W923" s="7"/>
      <c r="X923" s="7"/>
      <c r="Y923" s="7"/>
      <c r="Z923" s="7"/>
      <c r="AA923" s="7"/>
    </row>
    <row r="924">
      <c r="A924" s="242"/>
      <c r="B924" s="242"/>
      <c r="C924" s="177"/>
      <c r="D924" s="177"/>
      <c r="E924" s="177"/>
      <c r="F924" s="177"/>
      <c r="G924" s="177"/>
      <c r="H924" s="148"/>
      <c r="I924" s="7"/>
      <c r="J924" s="7"/>
      <c r="K924" s="7"/>
      <c r="L924" s="7"/>
      <c r="M924" s="7"/>
      <c r="N924" s="7"/>
      <c r="O924" s="7"/>
      <c r="P924" s="7"/>
      <c r="Q924" s="7"/>
      <c r="R924" s="7"/>
      <c r="S924" s="7"/>
      <c r="T924" s="7"/>
      <c r="U924" s="7"/>
      <c r="V924" s="7"/>
      <c r="W924" s="7"/>
      <c r="X924" s="7"/>
      <c r="Y924" s="7"/>
      <c r="Z924" s="7"/>
      <c r="AA924" s="7"/>
    </row>
    <row r="925">
      <c r="A925" s="242"/>
      <c r="B925" s="242"/>
      <c r="C925" s="177"/>
      <c r="D925" s="177"/>
      <c r="E925" s="177"/>
      <c r="F925" s="177"/>
      <c r="G925" s="177"/>
      <c r="H925" s="148"/>
      <c r="I925" s="7"/>
      <c r="J925" s="7"/>
      <c r="K925" s="7"/>
      <c r="L925" s="7"/>
      <c r="M925" s="7"/>
      <c r="N925" s="7"/>
      <c r="O925" s="7"/>
      <c r="P925" s="7"/>
      <c r="Q925" s="7"/>
      <c r="R925" s="7"/>
      <c r="S925" s="7"/>
      <c r="T925" s="7"/>
      <c r="U925" s="7"/>
      <c r="V925" s="7"/>
      <c r="W925" s="7"/>
      <c r="X925" s="7"/>
      <c r="Y925" s="7"/>
      <c r="Z925" s="7"/>
      <c r="AA925" s="7"/>
    </row>
    <row r="926">
      <c r="A926" s="242"/>
      <c r="B926" s="242"/>
      <c r="C926" s="177"/>
      <c r="D926" s="177"/>
      <c r="E926" s="177"/>
      <c r="F926" s="177"/>
      <c r="G926" s="177"/>
      <c r="H926" s="148"/>
      <c r="I926" s="7"/>
      <c r="J926" s="7"/>
      <c r="K926" s="7"/>
      <c r="L926" s="7"/>
      <c r="M926" s="7"/>
      <c r="N926" s="7"/>
      <c r="O926" s="7"/>
      <c r="P926" s="7"/>
      <c r="Q926" s="7"/>
      <c r="R926" s="7"/>
      <c r="S926" s="7"/>
      <c r="T926" s="7"/>
      <c r="U926" s="7"/>
      <c r="V926" s="7"/>
      <c r="W926" s="7"/>
      <c r="X926" s="7"/>
      <c r="Y926" s="7"/>
      <c r="Z926" s="7"/>
      <c r="AA926" s="7"/>
    </row>
    <row r="927">
      <c r="A927" s="242"/>
      <c r="B927" s="242"/>
      <c r="C927" s="177"/>
      <c r="D927" s="177"/>
      <c r="E927" s="177"/>
      <c r="F927" s="177"/>
      <c r="G927" s="177"/>
      <c r="H927" s="148"/>
      <c r="I927" s="7"/>
      <c r="J927" s="7"/>
      <c r="K927" s="7"/>
      <c r="L927" s="7"/>
      <c r="M927" s="7"/>
      <c r="N927" s="7"/>
      <c r="O927" s="7"/>
      <c r="P927" s="7"/>
      <c r="Q927" s="7"/>
      <c r="R927" s="7"/>
      <c r="S927" s="7"/>
      <c r="T927" s="7"/>
      <c r="U927" s="7"/>
      <c r="V927" s="7"/>
      <c r="W927" s="7"/>
      <c r="X927" s="7"/>
      <c r="Y927" s="7"/>
      <c r="Z927" s="7"/>
      <c r="AA927" s="7"/>
    </row>
    <row r="928">
      <c r="A928" s="242"/>
      <c r="B928" s="242"/>
      <c r="C928" s="177"/>
      <c r="D928" s="177"/>
      <c r="E928" s="177"/>
      <c r="F928" s="177"/>
      <c r="G928" s="177"/>
      <c r="H928" s="148"/>
      <c r="I928" s="7"/>
      <c r="J928" s="7"/>
      <c r="K928" s="7"/>
      <c r="L928" s="7"/>
      <c r="M928" s="7"/>
      <c r="N928" s="7"/>
      <c r="O928" s="7"/>
      <c r="P928" s="7"/>
      <c r="Q928" s="7"/>
      <c r="R928" s="7"/>
      <c r="S928" s="7"/>
      <c r="T928" s="7"/>
      <c r="U928" s="7"/>
      <c r="V928" s="7"/>
      <c r="W928" s="7"/>
      <c r="X928" s="7"/>
      <c r="Y928" s="7"/>
      <c r="Z928" s="7"/>
      <c r="AA928" s="7"/>
    </row>
    <row r="929">
      <c r="A929" s="242"/>
      <c r="B929" s="242"/>
      <c r="C929" s="177"/>
      <c r="D929" s="177"/>
      <c r="E929" s="177"/>
      <c r="F929" s="177"/>
      <c r="G929" s="177"/>
      <c r="H929" s="148"/>
      <c r="I929" s="7"/>
      <c r="J929" s="7"/>
      <c r="K929" s="7"/>
      <c r="L929" s="7"/>
      <c r="M929" s="7"/>
      <c r="N929" s="7"/>
      <c r="O929" s="7"/>
      <c r="P929" s="7"/>
      <c r="Q929" s="7"/>
      <c r="R929" s="7"/>
      <c r="S929" s="7"/>
      <c r="T929" s="7"/>
      <c r="U929" s="7"/>
      <c r="V929" s="7"/>
      <c r="W929" s="7"/>
      <c r="X929" s="7"/>
      <c r="Y929" s="7"/>
      <c r="Z929" s="7"/>
      <c r="AA929" s="7"/>
    </row>
    <row r="930">
      <c r="A930" s="242"/>
      <c r="B930" s="242"/>
      <c r="C930" s="177"/>
      <c r="D930" s="177"/>
      <c r="E930" s="177"/>
      <c r="F930" s="177"/>
      <c r="G930" s="177"/>
      <c r="H930" s="148"/>
      <c r="I930" s="7"/>
      <c r="J930" s="7"/>
      <c r="K930" s="7"/>
      <c r="L930" s="7"/>
      <c r="M930" s="7"/>
      <c r="N930" s="7"/>
      <c r="O930" s="7"/>
      <c r="P930" s="7"/>
      <c r="Q930" s="7"/>
      <c r="R930" s="7"/>
      <c r="S930" s="7"/>
      <c r="T930" s="7"/>
      <c r="U930" s="7"/>
      <c r="V930" s="7"/>
      <c r="W930" s="7"/>
      <c r="X930" s="7"/>
      <c r="Y930" s="7"/>
      <c r="Z930" s="7"/>
      <c r="AA930" s="7"/>
    </row>
    <row r="931">
      <c r="A931" s="242"/>
      <c r="B931" s="242"/>
      <c r="C931" s="177"/>
      <c r="D931" s="177"/>
      <c r="E931" s="177"/>
      <c r="F931" s="177"/>
      <c r="G931" s="177"/>
      <c r="H931" s="148"/>
      <c r="I931" s="7"/>
      <c r="J931" s="7"/>
      <c r="K931" s="7"/>
      <c r="L931" s="7"/>
      <c r="M931" s="7"/>
      <c r="N931" s="7"/>
      <c r="O931" s="7"/>
      <c r="P931" s="7"/>
      <c r="Q931" s="7"/>
      <c r="R931" s="7"/>
      <c r="S931" s="7"/>
      <c r="T931" s="7"/>
      <c r="U931" s="7"/>
      <c r="V931" s="7"/>
      <c r="W931" s="7"/>
      <c r="X931" s="7"/>
      <c r="Y931" s="7"/>
      <c r="Z931" s="7"/>
      <c r="AA931" s="7"/>
    </row>
    <row r="932">
      <c r="A932" s="242"/>
      <c r="B932" s="242"/>
      <c r="C932" s="177"/>
      <c r="D932" s="177"/>
      <c r="E932" s="177"/>
      <c r="F932" s="177"/>
      <c r="G932" s="177"/>
      <c r="H932" s="148"/>
      <c r="I932" s="7"/>
      <c r="J932" s="7"/>
      <c r="K932" s="7"/>
      <c r="L932" s="7"/>
      <c r="M932" s="7"/>
      <c r="N932" s="7"/>
      <c r="O932" s="7"/>
      <c r="P932" s="7"/>
      <c r="Q932" s="7"/>
      <c r="R932" s="7"/>
      <c r="S932" s="7"/>
      <c r="T932" s="7"/>
      <c r="U932" s="7"/>
      <c r="V932" s="7"/>
      <c r="W932" s="7"/>
      <c r="X932" s="7"/>
      <c r="Y932" s="7"/>
      <c r="Z932" s="7"/>
      <c r="AA932" s="7"/>
    </row>
    <row r="933">
      <c r="A933" s="242"/>
      <c r="B933" s="242"/>
      <c r="C933" s="177"/>
      <c r="D933" s="177"/>
      <c r="E933" s="177"/>
      <c r="F933" s="177"/>
      <c r="G933" s="177"/>
      <c r="H933" s="148"/>
      <c r="I933" s="7"/>
      <c r="J933" s="7"/>
      <c r="K933" s="7"/>
      <c r="L933" s="7"/>
      <c r="M933" s="7"/>
      <c r="N933" s="7"/>
      <c r="O933" s="7"/>
      <c r="P933" s="7"/>
      <c r="Q933" s="7"/>
      <c r="R933" s="7"/>
      <c r="S933" s="7"/>
      <c r="T933" s="7"/>
      <c r="U933" s="7"/>
      <c r="V933" s="7"/>
      <c r="W933" s="7"/>
      <c r="X933" s="7"/>
      <c r="Y933" s="7"/>
      <c r="Z933" s="7"/>
      <c r="AA933" s="7"/>
    </row>
    <row r="934">
      <c r="A934" s="242"/>
      <c r="B934" s="242"/>
      <c r="C934" s="177"/>
      <c r="D934" s="177"/>
      <c r="E934" s="177"/>
      <c r="F934" s="177"/>
      <c r="G934" s="177"/>
      <c r="H934" s="148"/>
      <c r="I934" s="7"/>
      <c r="J934" s="7"/>
      <c r="K934" s="7"/>
      <c r="L934" s="7"/>
      <c r="M934" s="7"/>
      <c r="N934" s="7"/>
      <c r="O934" s="7"/>
      <c r="P934" s="7"/>
      <c r="Q934" s="7"/>
      <c r="R934" s="7"/>
      <c r="S934" s="7"/>
      <c r="T934" s="7"/>
      <c r="U934" s="7"/>
      <c r="V934" s="7"/>
      <c r="W934" s="7"/>
      <c r="X934" s="7"/>
      <c r="Y934" s="7"/>
      <c r="Z934" s="7"/>
      <c r="AA934" s="7"/>
    </row>
    <row r="935">
      <c r="A935" s="242"/>
      <c r="B935" s="242"/>
      <c r="C935" s="177"/>
      <c r="D935" s="177"/>
      <c r="E935" s="177"/>
      <c r="F935" s="177"/>
      <c r="G935" s="177"/>
      <c r="H935" s="148"/>
      <c r="I935" s="7"/>
      <c r="J935" s="7"/>
      <c r="K935" s="7"/>
      <c r="L935" s="7"/>
      <c r="M935" s="7"/>
      <c r="N935" s="7"/>
      <c r="O935" s="7"/>
      <c r="P935" s="7"/>
      <c r="Q935" s="7"/>
      <c r="R935" s="7"/>
      <c r="S935" s="7"/>
      <c r="T935" s="7"/>
      <c r="U935" s="7"/>
      <c r="V935" s="7"/>
      <c r="W935" s="7"/>
      <c r="X935" s="7"/>
      <c r="Y935" s="7"/>
      <c r="Z935" s="7"/>
      <c r="AA935" s="7"/>
    </row>
    <row r="936">
      <c r="A936" s="242"/>
      <c r="B936" s="242"/>
      <c r="C936" s="177"/>
      <c r="D936" s="177"/>
      <c r="E936" s="177"/>
      <c r="F936" s="177"/>
      <c r="G936" s="177"/>
      <c r="H936" s="148"/>
      <c r="I936" s="7"/>
      <c r="J936" s="7"/>
      <c r="K936" s="7"/>
      <c r="L936" s="7"/>
      <c r="M936" s="7"/>
      <c r="N936" s="7"/>
      <c r="O936" s="7"/>
      <c r="P936" s="7"/>
      <c r="Q936" s="7"/>
      <c r="R936" s="7"/>
      <c r="S936" s="7"/>
      <c r="T936" s="7"/>
      <c r="U936" s="7"/>
      <c r="V936" s="7"/>
      <c r="W936" s="7"/>
      <c r="X936" s="7"/>
      <c r="Y936" s="7"/>
      <c r="Z936" s="7"/>
      <c r="AA936" s="7"/>
    </row>
    <row r="937">
      <c r="A937" s="242"/>
      <c r="B937" s="242"/>
      <c r="C937" s="177"/>
      <c r="D937" s="177"/>
      <c r="E937" s="177"/>
      <c r="F937" s="177"/>
      <c r="G937" s="177"/>
      <c r="H937" s="148"/>
      <c r="I937" s="7"/>
      <c r="J937" s="7"/>
      <c r="K937" s="7"/>
      <c r="L937" s="7"/>
      <c r="M937" s="7"/>
      <c r="N937" s="7"/>
      <c r="O937" s="7"/>
      <c r="P937" s="7"/>
      <c r="Q937" s="7"/>
      <c r="R937" s="7"/>
      <c r="S937" s="7"/>
      <c r="T937" s="7"/>
      <c r="U937" s="7"/>
      <c r="V937" s="7"/>
      <c r="W937" s="7"/>
      <c r="X937" s="7"/>
      <c r="Y937" s="7"/>
      <c r="Z937" s="7"/>
      <c r="AA937" s="7"/>
    </row>
    <row r="938">
      <c r="A938" s="242"/>
      <c r="B938" s="242"/>
      <c r="C938" s="177"/>
      <c r="D938" s="177"/>
      <c r="E938" s="177"/>
      <c r="F938" s="177"/>
      <c r="G938" s="177"/>
      <c r="H938" s="148"/>
      <c r="I938" s="7"/>
      <c r="J938" s="7"/>
      <c r="K938" s="7"/>
      <c r="L938" s="7"/>
      <c r="M938" s="7"/>
      <c r="N938" s="7"/>
      <c r="O938" s="7"/>
      <c r="P938" s="7"/>
      <c r="Q938" s="7"/>
      <c r="R938" s="7"/>
      <c r="S938" s="7"/>
      <c r="T938" s="7"/>
      <c r="U938" s="7"/>
      <c r="V938" s="7"/>
      <c r="W938" s="7"/>
      <c r="X938" s="7"/>
      <c r="Y938" s="7"/>
      <c r="Z938" s="7"/>
      <c r="AA938" s="7"/>
    </row>
    <row r="939">
      <c r="A939" s="242"/>
      <c r="B939" s="242"/>
      <c r="C939" s="177"/>
      <c r="D939" s="177"/>
      <c r="E939" s="177"/>
      <c r="F939" s="177"/>
      <c r="G939" s="177"/>
      <c r="H939" s="148"/>
      <c r="I939" s="7"/>
      <c r="J939" s="7"/>
      <c r="K939" s="7"/>
      <c r="L939" s="7"/>
      <c r="M939" s="7"/>
      <c r="N939" s="7"/>
      <c r="O939" s="7"/>
      <c r="P939" s="7"/>
      <c r="Q939" s="7"/>
      <c r="R939" s="7"/>
      <c r="S939" s="7"/>
      <c r="T939" s="7"/>
      <c r="U939" s="7"/>
      <c r="V939" s="7"/>
      <c r="W939" s="7"/>
      <c r="X939" s="7"/>
      <c r="Y939" s="7"/>
      <c r="Z939" s="7"/>
      <c r="AA939" s="7"/>
    </row>
    <row r="940">
      <c r="A940" s="242"/>
      <c r="B940" s="242"/>
      <c r="C940" s="177"/>
      <c r="D940" s="177"/>
      <c r="E940" s="177"/>
      <c r="F940" s="177"/>
      <c r="G940" s="177"/>
      <c r="H940" s="148"/>
      <c r="I940" s="7"/>
      <c r="J940" s="7"/>
      <c r="K940" s="7"/>
      <c r="L940" s="7"/>
      <c r="M940" s="7"/>
      <c r="N940" s="7"/>
      <c r="O940" s="7"/>
      <c r="P940" s="7"/>
      <c r="Q940" s="7"/>
      <c r="R940" s="7"/>
      <c r="S940" s="7"/>
      <c r="T940" s="7"/>
      <c r="U940" s="7"/>
      <c r="V940" s="7"/>
      <c r="W940" s="7"/>
      <c r="X940" s="7"/>
      <c r="Y940" s="7"/>
      <c r="Z940" s="7"/>
      <c r="AA940" s="7"/>
    </row>
    <row r="941">
      <c r="A941" s="242"/>
      <c r="B941" s="242"/>
      <c r="C941" s="177"/>
      <c r="D941" s="177"/>
      <c r="E941" s="177"/>
      <c r="F941" s="177"/>
      <c r="G941" s="177"/>
      <c r="H941" s="148"/>
      <c r="I941" s="7"/>
      <c r="J941" s="7"/>
      <c r="K941" s="7"/>
      <c r="L941" s="7"/>
      <c r="M941" s="7"/>
      <c r="N941" s="7"/>
      <c r="O941" s="7"/>
      <c r="P941" s="7"/>
      <c r="Q941" s="7"/>
      <c r="R941" s="7"/>
      <c r="S941" s="7"/>
      <c r="T941" s="7"/>
      <c r="U941" s="7"/>
      <c r="V941" s="7"/>
      <c r="W941" s="7"/>
      <c r="X941" s="7"/>
      <c r="Y941" s="7"/>
      <c r="Z941" s="7"/>
      <c r="AA941" s="7"/>
    </row>
    <row r="942">
      <c r="A942" s="242"/>
      <c r="B942" s="242"/>
      <c r="C942" s="177"/>
      <c r="D942" s="177"/>
      <c r="E942" s="177"/>
      <c r="F942" s="177"/>
      <c r="G942" s="177"/>
      <c r="H942" s="148"/>
      <c r="I942" s="7"/>
      <c r="J942" s="7"/>
      <c r="K942" s="7"/>
      <c r="L942" s="7"/>
      <c r="M942" s="7"/>
      <c r="N942" s="7"/>
      <c r="O942" s="7"/>
      <c r="P942" s="7"/>
      <c r="Q942" s="7"/>
      <c r="R942" s="7"/>
      <c r="S942" s="7"/>
      <c r="T942" s="7"/>
      <c r="U942" s="7"/>
      <c r="V942" s="7"/>
      <c r="W942" s="7"/>
      <c r="X942" s="7"/>
      <c r="Y942" s="7"/>
      <c r="Z942" s="7"/>
      <c r="AA942" s="7"/>
    </row>
    <row r="943">
      <c r="A943" s="242"/>
      <c r="B943" s="242"/>
      <c r="C943" s="177"/>
      <c r="D943" s="177"/>
      <c r="E943" s="177"/>
      <c r="F943" s="177"/>
      <c r="G943" s="177"/>
      <c r="H943" s="148"/>
      <c r="I943" s="7"/>
      <c r="J943" s="7"/>
      <c r="K943" s="7"/>
      <c r="L943" s="7"/>
      <c r="M943" s="7"/>
      <c r="N943" s="7"/>
      <c r="O943" s="7"/>
      <c r="P943" s="7"/>
      <c r="Q943" s="7"/>
      <c r="R943" s="7"/>
      <c r="S943" s="7"/>
      <c r="T943" s="7"/>
      <c r="U943" s="7"/>
      <c r="V943" s="7"/>
      <c r="W943" s="7"/>
      <c r="X943" s="7"/>
      <c r="Y943" s="7"/>
      <c r="Z943" s="7"/>
      <c r="AA943" s="7"/>
    </row>
    <row r="944">
      <c r="A944" s="242"/>
      <c r="B944" s="242"/>
      <c r="C944" s="177"/>
      <c r="D944" s="177"/>
      <c r="E944" s="177"/>
      <c r="F944" s="177"/>
      <c r="G944" s="177"/>
      <c r="H944" s="148"/>
      <c r="I944" s="7"/>
      <c r="J944" s="7"/>
      <c r="K944" s="7"/>
      <c r="L944" s="7"/>
      <c r="M944" s="7"/>
      <c r="N944" s="7"/>
      <c r="O944" s="7"/>
      <c r="P944" s="7"/>
      <c r="Q944" s="7"/>
      <c r="R944" s="7"/>
      <c r="S944" s="7"/>
      <c r="T944" s="7"/>
      <c r="U944" s="7"/>
      <c r="V944" s="7"/>
      <c r="W944" s="7"/>
      <c r="X944" s="7"/>
      <c r="Y944" s="7"/>
      <c r="Z944" s="7"/>
      <c r="AA944" s="7"/>
    </row>
    <row r="945">
      <c r="A945" s="242"/>
      <c r="B945" s="242"/>
      <c r="C945" s="177"/>
      <c r="D945" s="177"/>
      <c r="E945" s="177"/>
      <c r="F945" s="177"/>
      <c r="G945" s="177"/>
      <c r="H945" s="148"/>
      <c r="I945" s="7"/>
      <c r="J945" s="7"/>
      <c r="K945" s="7"/>
      <c r="L945" s="7"/>
      <c r="M945" s="7"/>
      <c r="N945" s="7"/>
      <c r="O945" s="7"/>
      <c r="P945" s="7"/>
      <c r="Q945" s="7"/>
      <c r="R945" s="7"/>
      <c r="S945" s="7"/>
      <c r="T945" s="7"/>
      <c r="U945" s="7"/>
      <c r="V945" s="7"/>
      <c r="W945" s="7"/>
      <c r="X945" s="7"/>
      <c r="Y945" s="7"/>
      <c r="Z945" s="7"/>
      <c r="AA945" s="7"/>
    </row>
    <row r="946">
      <c r="A946" s="242"/>
      <c r="B946" s="242"/>
      <c r="C946" s="177"/>
      <c r="D946" s="177"/>
      <c r="E946" s="177"/>
      <c r="F946" s="177"/>
      <c r="G946" s="177"/>
      <c r="H946" s="148"/>
      <c r="I946" s="7"/>
      <c r="J946" s="7"/>
      <c r="K946" s="7"/>
      <c r="L946" s="7"/>
      <c r="M946" s="7"/>
      <c r="N946" s="7"/>
      <c r="O946" s="7"/>
      <c r="P946" s="7"/>
      <c r="Q946" s="7"/>
      <c r="R946" s="7"/>
      <c r="S946" s="7"/>
      <c r="T946" s="7"/>
      <c r="U946" s="7"/>
      <c r="V946" s="7"/>
      <c r="W946" s="7"/>
      <c r="X946" s="7"/>
      <c r="Y946" s="7"/>
      <c r="Z946" s="7"/>
      <c r="AA946" s="7"/>
    </row>
    <row r="947">
      <c r="A947" s="242"/>
      <c r="B947" s="242"/>
      <c r="C947" s="177"/>
      <c r="D947" s="177"/>
      <c r="E947" s="177"/>
      <c r="F947" s="177"/>
      <c r="G947" s="177"/>
      <c r="H947" s="148"/>
      <c r="I947" s="7"/>
      <c r="J947" s="7"/>
      <c r="K947" s="7"/>
      <c r="L947" s="7"/>
      <c r="M947" s="7"/>
      <c r="N947" s="7"/>
      <c r="O947" s="7"/>
      <c r="P947" s="7"/>
      <c r="Q947" s="7"/>
      <c r="R947" s="7"/>
      <c r="S947" s="7"/>
      <c r="T947" s="7"/>
      <c r="U947" s="7"/>
      <c r="V947" s="7"/>
      <c r="W947" s="7"/>
      <c r="X947" s="7"/>
      <c r="Y947" s="7"/>
      <c r="Z947" s="7"/>
      <c r="AA947" s="7"/>
    </row>
    <row r="948">
      <c r="A948" s="242"/>
      <c r="B948" s="242"/>
      <c r="C948" s="177"/>
      <c r="D948" s="177"/>
      <c r="E948" s="177"/>
      <c r="F948" s="177"/>
      <c r="G948" s="177"/>
      <c r="H948" s="148"/>
      <c r="I948" s="7"/>
      <c r="J948" s="7"/>
      <c r="K948" s="7"/>
      <c r="L948" s="7"/>
      <c r="M948" s="7"/>
      <c r="N948" s="7"/>
      <c r="O948" s="7"/>
      <c r="P948" s="7"/>
      <c r="Q948" s="7"/>
      <c r="R948" s="7"/>
      <c r="S948" s="7"/>
      <c r="T948" s="7"/>
      <c r="U948" s="7"/>
      <c r="V948" s="7"/>
      <c r="W948" s="7"/>
      <c r="X948" s="7"/>
      <c r="Y948" s="7"/>
      <c r="Z948" s="7"/>
      <c r="AA948" s="7"/>
    </row>
    <row r="949">
      <c r="A949" s="242"/>
      <c r="B949" s="242"/>
      <c r="C949" s="177"/>
      <c r="D949" s="177"/>
      <c r="E949" s="177"/>
      <c r="F949" s="177"/>
      <c r="G949" s="177"/>
      <c r="H949" s="148"/>
      <c r="I949" s="7"/>
      <c r="J949" s="7"/>
      <c r="K949" s="7"/>
      <c r="L949" s="7"/>
      <c r="M949" s="7"/>
      <c r="N949" s="7"/>
      <c r="O949" s="7"/>
      <c r="P949" s="7"/>
      <c r="Q949" s="7"/>
      <c r="R949" s="7"/>
      <c r="S949" s="7"/>
      <c r="T949" s="7"/>
      <c r="U949" s="7"/>
      <c r="V949" s="7"/>
      <c r="W949" s="7"/>
      <c r="X949" s="7"/>
      <c r="Y949" s="7"/>
      <c r="Z949" s="7"/>
      <c r="AA949" s="7"/>
    </row>
    <row r="950">
      <c r="A950" s="242"/>
      <c r="B950" s="242"/>
      <c r="C950" s="177"/>
      <c r="D950" s="177"/>
      <c r="E950" s="177"/>
      <c r="F950" s="177"/>
      <c r="G950" s="177"/>
      <c r="H950" s="148"/>
      <c r="I950" s="7"/>
      <c r="J950" s="7"/>
      <c r="K950" s="7"/>
      <c r="L950" s="7"/>
      <c r="M950" s="7"/>
      <c r="N950" s="7"/>
      <c r="O950" s="7"/>
      <c r="P950" s="7"/>
      <c r="Q950" s="7"/>
      <c r="R950" s="7"/>
      <c r="S950" s="7"/>
      <c r="T950" s="7"/>
      <c r="U950" s="7"/>
      <c r="V950" s="7"/>
      <c r="W950" s="7"/>
      <c r="X950" s="7"/>
      <c r="Y950" s="7"/>
      <c r="Z950" s="7"/>
      <c r="AA950" s="7"/>
    </row>
    <row r="951">
      <c r="A951" s="242"/>
      <c r="B951" s="242"/>
      <c r="C951" s="177"/>
      <c r="D951" s="177"/>
      <c r="E951" s="177"/>
      <c r="F951" s="177"/>
      <c r="G951" s="177"/>
      <c r="H951" s="148"/>
      <c r="I951" s="7"/>
      <c r="J951" s="7"/>
      <c r="K951" s="7"/>
      <c r="L951" s="7"/>
      <c r="M951" s="7"/>
      <c r="N951" s="7"/>
      <c r="O951" s="7"/>
      <c r="P951" s="7"/>
      <c r="Q951" s="7"/>
      <c r="R951" s="7"/>
      <c r="S951" s="7"/>
      <c r="T951" s="7"/>
      <c r="U951" s="7"/>
      <c r="V951" s="7"/>
      <c r="W951" s="7"/>
      <c r="X951" s="7"/>
      <c r="Y951" s="7"/>
      <c r="Z951" s="7"/>
      <c r="AA951" s="7"/>
    </row>
    <row r="952">
      <c r="A952" s="242"/>
      <c r="B952" s="242"/>
      <c r="C952" s="177"/>
      <c r="D952" s="177"/>
      <c r="E952" s="177"/>
      <c r="F952" s="177"/>
      <c r="G952" s="177"/>
      <c r="H952" s="148"/>
      <c r="I952" s="7"/>
      <c r="J952" s="7"/>
      <c r="K952" s="7"/>
      <c r="L952" s="7"/>
      <c r="M952" s="7"/>
      <c r="N952" s="7"/>
      <c r="O952" s="7"/>
      <c r="P952" s="7"/>
      <c r="Q952" s="7"/>
      <c r="R952" s="7"/>
      <c r="S952" s="7"/>
      <c r="T952" s="7"/>
      <c r="U952" s="7"/>
      <c r="V952" s="7"/>
      <c r="W952" s="7"/>
      <c r="X952" s="7"/>
      <c r="Y952" s="7"/>
      <c r="Z952" s="7"/>
      <c r="AA952" s="7"/>
    </row>
    <row r="953">
      <c r="A953" s="242"/>
      <c r="B953" s="242"/>
      <c r="C953" s="177"/>
      <c r="D953" s="177"/>
      <c r="E953" s="177"/>
      <c r="F953" s="177"/>
      <c r="G953" s="177"/>
      <c r="H953" s="148"/>
      <c r="I953" s="7"/>
      <c r="J953" s="7"/>
      <c r="K953" s="7"/>
      <c r="L953" s="7"/>
      <c r="M953" s="7"/>
      <c r="N953" s="7"/>
      <c r="O953" s="7"/>
      <c r="P953" s="7"/>
      <c r="Q953" s="7"/>
      <c r="R953" s="7"/>
      <c r="S953" s="7"/>
      <c r="T953" s="7"/>
      <c r="U953" s="7"/>
      <c r="V953" s="7"/>
      <c r="W953" s="7"/>
      <c r="X953" s="7"/>
      <c r="Y953" s="7"/>
      <c r="Z953" s="7"/>
      <c r="AA953" s="7"/>
    </row>
    <row r="954">
      <c r="A954" s="242"/>
      <c r="B954" s="242"/>
      <c r="C954" s="177"/>
      <c r="D954" s="177"/>
      <c r="E954" s="177"/>
      <c r="F954" s="177"/>
      <c r="G954" s="177"/>
      <c r="H954" s="148"/>
      <c r="I954" s="7"/>
      <c r="J954" s="7"/>
      <c r="K954" s="7"/>
      <c r="L954" s="7"/>
      <c r="M954" s="7"/>
      <c r="N954" s="7"/>
      <c r="O954" s="7"/>
      <c r="P954" s="7"/>
      <c r="Q954" s="7"/>
      <c r="R954" s="7"/>
      <c r="S954" s="7"/>
      <c r="T954" s="7"/>
      <c r="U954" s="7"/>
      <c r="V954" s="7"/>
      <c r="W954" s="7"/>
      <c r="X954" s="7"/>
      <c r="Y954" s="7"/>
      <c r="Z954" s="7"/>
      <c r="AA954" s="7"/>
    </row>
    <row r="955">
      <c r="A955" s="242"/>
      <c r="B955" s="242"/>
      <c r="C955" s="177"/>
      <c r="D955" s="177"/>
      <c r="E955" s="177"/>
      <c r="F955" s="177"/>
      <c r="G955" s="177"/>
      <c r="H955" s="148"/>
      <c r="I955" s="7"/>
      <c r="J955" s="7"/>
      <c r="K955" s="7"/>
      <c r="L955" s="7"/>
      <c r="M955" s="7"/>
      <c r="N955" s="7"/>
      <c r="O955" s="7"/>
      <c r="P955" s="7"/>
      <c r="Q955" s="7"/>
      <c r="R955" s="7"/>
      <c r="S955" s="7"/>
      <c r="T955" s="7"/>
      <c r="U955" s="7"/>
      <c r="V955" s="7"/>
      <c r="W955" s="7"/>
      <c r="X955" s="7"/>
      <c r="Y955" s="7"/>
      <c r="Z955" s="7"/>
      <c r="AA955" s="7"/>
    </row>
    <row r="956">
      <c r="A956" s="242"/>
      <c r="B956" s="242"/>
      <c r="C956" s="177"/>
      <c r="D956" s="177"/>
      <c r="E956" s="177"/>
      <c r="F956" s="177"/>
      <c r="G956" s="177"/>
      <c r="H956" s="148"/>
      <c r="I956" s="7"/>
      <c r="J956" s="7"/>
      <c r="K956" s="7"/>
      <c r="L956" s="7"/>
      <c r="M956" s="7"/>
      <c r="N956" s="7"/>
      <c r="O956" s="7"/>
      <c r="P956" s="7"/>
      <c r="Q956" s="7"/>
      <c r="R956" s="7"/>
      <c r="S956" s="7"/>
      <c r="T956" s="7"/>
      <c r="U956" s="7"/>
      <c r="V956" s="7"/>
      <c r="W956" s="7"/>
      <c r="X956" s="7"/>
      <c r="Y956" s="7"/>
      <c r="Z956" s="7"/>
      <c r="AA956" s="7"/>
    </row>
    <row r="957">
      <c r="A957" s="242"/>
      <c r="B957" s="242"/>
      <c r="C957" s="177"/>
      <c r="D957" s="177"/>
      <c r="E957" s="177"/>
      <c r="F957" s="177"/>
      <c r="G957" s="177"/>
      <c r="H957" s="148"/>
      <c r="I957" s="7"/>
      <c r="J957" s="7"/>
      <c r="K957" s="7"/>
      <c r="L957" s="7"/>
      <c r="M957" s="7"/>
      <c r="N957" s="7"/>
      <c r="O957" s="7"/>
      <c r="P957" s="7"/>
      <c r="Q957" s="7"/>
      <c r="R957" s="7"/>
      <c r="S957" s="7"/>
      <c r="T957" s="7"/>
      <c r="U957" s="7"/>
      <c r="V957" s="7"/>
      <c r="W957" s="7"/>
      <c r="X957" s="7"/>
      <c r="Y957" s="7"/>
      <c r="Z957" s="7"/>
      <c r="AA957" s="7"/>
    </row>
    <row r="958">
      <c r="A958" s="242"/>
      <c r="B958" s="242"/>
      <c r="C958" s="177"/>
      <c r="D958" s="177"/>
      <c r="E958" s="177"/>
      <c r="F958" s="177"/>
      <c r="G958" s="177"/>
      <c r="H958" s="148"/>
      <c r="I958" s="7"/>
      <c r="J958" s="7"/>
      <c r="K958" s="7"/>
      <c r="L958" s="7"/>
      <c r="M958" s="7"/>
      <c r="N958" s="7"/>
      <c r="O958" s="7"/>
      <c r="P958" s="7"/>
      <c r="Q958" s="7"/>
      <c r="R958" s="7"/>
      <c r="S958" s="7"/>
      <c r="T958" s="7"/>
      <c r="U958" s="7"/>
      <c r="V958" s="7"/>
      <c r="W958" s="7"/>
      <c r="X958" s="7"/>
      <c r="Y958" s="7"/>
      <c r="Z958" s="7"/>
      <c r="AA958" s="7"/>
    </row>
    <row r="959">
      <c r="A959" s="242"/>
      <c r="B959" s="242"/>
      <c r="C959" s="177"/>
      <c r="D959" s="177"/>
      <c r="E959" s="177"/>
      <c r="F959" s="177"/>
      <c r="G959" s="177"/>
      <c r="H959" s="148"/>
      <c r="I959" s="7"/>
      <c r="J959" s="7"/>
      <c r="K959" s="7"/>
      <c r="L959" s="7"/>
      <c r="M959" s="7"/>
      <c r="N959" s="7"/>
      <c r="O959" s="7"/>
      <c r="P959" s="7"/>
      <c r="Q959" s="7"/>
      <c r="R959" s="7"/>
      <c r="S959" s="7"/>
      <c r="T959" s="7"/>
      <c r="U959" s="7"/>
      <c r="V959" s="7"/>
      <c r="W959" s="7"/>
      <c r="X959" s="7"/>
      <c r="Y959" s="7"/>
      <c r="Z959" s="7"/>
      <c r="AA959" s="7"/>
    </row>
    <row r="960">
      <c r="A960" s="242"/>
      <c r="B960" s="242"/>
      <c r="C960" s="177"/>
      <c r="D960" s="177"/>
      <c r="E960" s="177"/>
      <c r="F960" s="177"/>
      <c r="G960" s="177"/>
      <c r="H960" s="148"/>
      <c r="I960" s="7"/>
      <c r="J960" s="7"/>
      <c r="K960" s="7"/>
      <c r="L960" s="7"/>
      <c r="M960" s="7"/>
      <c r="N960" s="7"/>
      <c r="O960" s="7"/>
      <c r="P960" s="7"/>
      <c r="Q960" s="7"/>
      <c r="R960" s="7"/>
      <c r="S960" s="7"/>
      <c r="T960" s="7"/>
      <c r="U960" s="7"/>
      <c r="V960" s="7"/>
      <c r="W960" s="7"/>
      <c r="X960" s="7"/>
      <c r="Y960" s="7"/>
      <c r="Z960" s="7"/>
      <c r="AA960" s="7"/>
    </row>
    <row r="961">
      <c r="A961" s="242"/>
      <c r="B961" s="242"/>
      <c r="C961" s="177"/>
      <c r="D961" s="177"/>
      <c r="E961" s="177"/>
      <c r="F961" s="177"/>
      <c r="G961" s="177"/>
      <c r="H961" s="148"/>
      <c r="I961" s="7"/>
      <c r="J961" s="7"/>
      <c r="K961" s="7"/>
      <c r="L961" s="7"/>
      <c r="M961" s="7"/>
      <c r="N961" s="7"/>
      <c r="O961" s="7"/>
      <c r="P961" s="7"/>
      <c r="Q961" s="7"/>
      <c r="R961" s="7"/>
      <c r="S961" s="7"/>
      <c r="T961" s="7"/>
      <c r="U961" s="7"/>
      <c r="V961" s="7"/>
      <c r="W961" s="7"/>
      <c r="X961" s="7"/>
      <c r="Y961" s="7"/>
      <c r="Z961" s="7"/>
      <c r="AA961" s="7"/>
    </row>
    <row r="962">
      <c r="A962" s="242"/>
      <c r="B962" s="242"/>
      <c r="C962" s="177"/>
      <c r="D962" s="177"/>
      <c r="E962" s="177"/>
      <c r="F962" s="177"/>
      <c r="G962" s="177"/>
      <c r="H962" s="148"/>
      <c r="I962" s="7"/>
      <c r="J962" s="7"/>
      <c r="K962" s="7"/>
      <c r="L962" s="7"/>
      <c r="M962" s="7"/>
      <c r="N962" s="7"/>
      <c r="O962" s="7"/>
      <c r="P962" s="7"/>
      <c r="Q962" s="7"/>
      <c r="R962" s="7"/>
      <c r="S962" s="7"/>
      <c r="T962" s="7"/>
      <c r="U962" s="7"/>
      <c r="V962" s="7"/>
      <c r="W962" s="7"/>
      <c r="X962" s="7"/>
      <c r="Y962" s="7"/>
      <c r="Z962" s="7"/>
      <c r="AA962" s="7"/>
    </row>
    <row r="963">
      <c r="A963" s="242"/>
      <c r="B963" s="242"/>
      <c r="C963" s="177"/>
      <c r="D963" s="177"/>
      <c r="E963" s="177"/>
      <c r="F963" s="177"/>
      <c r="G963" s="177"/>
      <c r="H963" s="148"/>
      <c r="I963" s="7"/>
      <c r="J963" s="7"/>
      <c r="K963" s="7"/>
      <c r="L963" s="7"/>
      <c r="M963" s="7"/>
      <c r="N963" s="7"/>
      <c r="O963" s="7"/>
      <c r="P963" s="7"/>
      <c r="Q963" s="7"/>
      <c r="R963" s="7"/>
      <c r="S963" s="7"/>
      <c r="T963" s="7"/>
      <c r="U963" s="7"/>
      <c r="V963" s="7"/>
      <c r="W963" s="7"/>
      <c r="X963" s="7"/>
      <c r="Y963" s="7"/>
      <c r="Z963" s="7"/>
      <c r="AA963" s="7"/>
    </row>
    <row r="964">
      <c r="A964" s="242"/>
      <c r="B964" s="242"/>
      <c r="C964" s="177"/>
      <c r="D964" s="177"/>
      <c r="E964" s="177"/>
      <c r="F964" s="177"/>
      <c r="G964" s="177"/>
      <c r="H964" s="148"/>
      <c r="I964" s="7"/>
      <c r="J964" s="7"/>
      <c r="K964" s="7"/>
      <c r="L964" s="7"/>
      <c r="M964" s="7"/>
      <c r="N964" s="7"/>
      <c r="O964" s="7"/>
      <c r="P964" s="7"/>
      <c r="Q964" s="7"/>
      <c r="R964" s="7"/>
      <c r="S964" s="7"/>
      <c r="T964" s="7"/>
      <c r="U964" s="7"/>
      <c r="V964" s="7"/>
      <c r="W964" s="7"/>
      <c r="X964" s="7"/>
      <c r="Y964" s="7"/>
      <c r="Z964" s="7"/>
      <c r="AA964" s="7"/>
    </row>
    <row r="965">
      <c r="A965" s="242"/>
      <c r="B965" s="242"/>
      <c r="C965" s="177"/>
      <c r="D965" s="177"/>
      <c r="E965" s="177"/>
      <c r="F965" s="177"/>
      <c r="G965" s="177"/>
      <c r="H965" s="148"/>
      <c r="I965" s="7"/>
      <c r="J965" s="7"/>
      <c r="K965" s="7"/>
      <c r="L965" s="7"/>
      <c r="M965" s="7"/>
      <c r="N965" s="7"/>
      <c r="O965" s="7"/>
      <c r="P965" s="7"/>
      <c r="Q965" s="7"/>
      <c r="R965" s="7"/>
      <c r="S965" s="7"/>
      <c r="T965" s="7"/>
      <c r="U965" s="7"/>
      <c r="V965" s="7"/>
      <c r="W965" s="7"/>
      <c r="X965" s="7"/>
      <c r="Y965" s="7"/>
      <c r="Z965" s="7"/>
      <c r="AA965" s="7"/>
    </row>
    <row r="966">
      <c r="A966" s="242"/>
      <c r="B966" s="242"/>
      <c r="C966" s="177"/>
      <c r="D966" s="177"/>
      <c r="E966" s="177"/>
      <c r="F966" s="177"/>
      <c r="G966" s="177"/>
      <c r="H966" s="148"/>
      <c r="I966" s="7"/>
      <c r="J966" s="7"/>
      <c r="K966" s="7"/>
      <c r="L966" s="7"/>
      <c r="M966" s="7"/>
      <c r="N966" s="7"/>
      <c r="O966" s="7"/>
      <c r="P966" s="7"/>
      <c r="Q966" s="7"/>
      <c r="R966" s="7"/>
      <c r="S966" s="7"/>
      <c r="T966" s="7"/>
      <c r="U966" s="7"/>
      <c r="V966" s="7"/>
      <c r="W966" s="7"/>
      <c r="X966" s="7"/>
      <c r="Y966" s="7"/>
      <c r="Z966" s="7"/>
      <c r="AA966" s="7"/>
    </row>
    <row r="967">
      <c r="A967" s="242"/>
      <c r="B967" s="242"/>
      <c r="C967" s="177"/>
      <c r="D967" s="177"/>
      <c r="E967" s="177"/>
      <c r="F967" s="177"/>
      <c r="G967" s="177"/>
      <c r="H967" s="148"/>
      <c r="I967" s="7"/>
      <c r="J967" s="7"/>
      <c r="K967" s="7"/>
      <c r="L967" s="7"/>
      <c r="M967" s="7"/>
      <c r="N967" s="7"/>
      <c r="O967" s="7"/>
      <c r="P967" s="7"/>
      <c r="Q967" s="7"/>
      <c r="R967" s="7"/>
      <c r="S967" s="7"/>
      <c r="T967" s="7"/>
      <c r="U967" s="7"/>
      <c r="V967" s="7"/>
      <c r="W967" s="7"/>
      <c r="X967" s="7"/>
      <c r="Y967" s="7"/>
      <c r="Z967" s="7"/>
      <c r="AA967" s="7"/>
    </row>
    <row r="968">
      <c r="A968" s="242"/>
      <c r="B968" s="242"/>
      <c r="C968" s="177"/>
      <c r="D968" s="177"/>
      <c r="E968" s="177"/>
      <c r="F968" s="177"/>
      <c r="G968" s="177"/>
      <c r="H968" s="148"/>
      <c r="I968" s="7"/>
      <c r="J968" s="7"/>
      <c r="K968" s="7"/>
      <c r="L968" s="7"/>
      <c r="M968" s="7"/>
      <c r="N968" s="7"/>
      <c r="O968" s="7"/>
      <c r="P968" s="7"/>
      <c r="Q968" s="7"/>
      <c r="R968" s="7"/>
      <c r="S968" s="7"/>
      <c r="T968" s="7"/>
      <c r="U968" s="7"/>
      <c r="V968" s="7"/>
      <c r="W968" s="7"/>
      <c r="X968" s="7"/>
      <c r="Y968" s="7"/>
      <c r="Z968" s="7"/>
      <c r="AA968" s="7"/>
    </row>
    <row r="969">
      <c r="A969" s="242"/>
      <c r="B969" s="242"/>
      <c r="C969" s="177"/>
      <c r="D969" s="177"/>
      <c r="E969" s="177"/>
      <c r="F969" s="177"/>
      <c r="G969" s="177"/>
      <c r="H969" s="148"/>
      <c r="I969" s="7"/>
      <c r="J969" s="7"/>
      <c r="K969" s="7"/>
      <c r="L969" s="7"/>
      <c r="M969" s="7"/>
      <c r="N969" s="7"/>
      <c r="O969" s="7"/>
      <c r="P969" s="7"/>
      <c r="Q969" s="7"/>
      <c r="R969" s="7"/>
      <c r="S969" s="7"/>
      <c r="T969" s="7"/>
      <c r="U969" s="7"/>
      <c r="V969" s="7"/>
      <c r="W969" s="7"/>
      <c r="X969" s="7"/>
      <c r="Y969" s="7"/>
      <c r="Z969" s="7"/>
      <c r="AA969" s="7"/>
    </row>
    <row r="970">
      <c r="A970" s="242"/>
      <c r="B970" s="242"/>
      <c r="C970" s="177"/>
      <c r="D970" s="177"/>
      <c r="E970" s="177"/>
      <c r="F970" s="177"/>
      <c r="G970" s="177"/>
      <c r="H970" s="148"/>
      <c r="I970" s="7"/>
      <c r="J970" s="7"/>
      <c r="K970" s="7"/>
      <c r="L970" s="7"/>
      <c r="M970" s="7"/>
      <c r="N970" s="7"/>
      <c r="O970" s="7"/>
      <c r="P970" s="7"/>
      <c r="Q970" s="7"/>
      <c r="R970" s="7"/>
      <c r="S970" s="7"/>
      <c r="T970" s="7"/>
      <c r="U970" s="7"/>
      <c r="V970" s="7"/>
      <c r="W970" s="7"/>
      <c r="X970" s="7"/>
      <c r="Y970" s="7"/>
      <c r="Z970" s="7"/>
      <c r="AA970" s="7"/>
    </row>
    <row r="971">
      <c r="A971" s="242"/>
      <c r="B971" s="242"/>
      <c r="C971" s="177"/>
      <c r="D971" s="177"/>
      <c r="E971" s="177"/>
      <c r="F971" s="177"/>
      <c r="G971" s="177"/>
      <c r="H971" s="148"/>
      <c r="I971" s="7"/>
      <c r="J971" s="7"/>
      <c r="K971" s="7"/>
      <c r="L971" s="7"/>
      <c r="M971" s="7"/>
      <c r="N971" s="7"/>
      <c r="O971" s="7"/>
      <c r="P971" s="7"/>
      <c r="Q971" s="7"/>
      <c r="R971" s="7"/>
      <c r="S971" s="7"/>
      <c r="T971" s="7"/>
      <c r="U971" s="7"/>
      <c r="V971" s="7"/>
      <c r="W971" s="7"/>
      <c r="X971" s="7"/>
      <c r="Y971" s="7"/>
      <c r="Z971" s="7"/>
      <c r="AA971" s="7"/>
    </row>
    <row r="972">
      <c r="A972" s="242"/>
      <c r="B972" s="242"/>
      <c r="C972" s="177"/>
      <c r="D972" s="177"/>
      <c r="E972" s="177"/>
      <c r="F972" s="177"/>
      <c r="G972" s="177"/>
      <c r="H972" s="148"/>
      <c r="I972" s="7"/>
      <c r="J972" s="7"/>
      <c r="K972" s="7"/>
      <c r="L972" s="7"/>
      <c r="M972" s="7"/>
      <c r="N972" s="7"/>
      <c r="O972" s="7"/>
      <c r="P972" s="7"/>
      <c r="Q972" s="7"/>
      <c r="R972" s="7"/>
      <c r="S972" s="7"/>
      <c r="T972" s="7"/>
      <c r="U972" s="7"/>
      <c r="V972" s="7"/>
      <c r="W972" s="7"/>
      <c r="X972" s="7"/>
      <c r="Y972" s="7"/>
      <c r="Z972" s="7"/>
      <c r="AA972" s="7"/>
    </row>
    <row r="973">
      <c r="A973" s="242"/>
      <c r="B973" s="242"/>
      <c r="C973" s="177"/>
      <c r="D973" s="177"/>
      <c r="E973" s="177"/>
      <c r="F973" s="177"/>
      <c r="G973" s="177"/>
      <c r="H973" s="148"/>
      <c r="I973" s="7"/>
      <c r="J973" s="7"/>
      <c r="K973" s="7"/>
      <c r="L973" s="7"/>
      <c r="M973" s="7"/>
      <c r="N973" s="7"/>
      <c r="O973" s="7"/>
      <c r="P973" s="7"/>
      <c r="Q973" s="7"/>
      <c r="R973" s="7"/>
      <c r="S973" s="7"/>
      <c r="T973" s="7"/>
      <c r="U973" s="7"/>
      <c r="V973" s="7"/>
      <c r="W973" s="7"/>
      <c r="X973" s="7"/>
      <c r="Y973" s="7"/>
      <c r="Z973" s="7"/>
      <c r="AA973" s="7"/>
    </row>
    <row r="974">
      <c r="A974" s="242"/>
      <c r="B974" s="242"/>
      <c r="C974" s="177"/>
      <c r="D974" s="177"/>
      <c r="E974" s="177"/>
      <c r="F974" s="177"/>
      <c r="G974" s="177"/>
      <c r="H974" s="148"/>
      <c r="I974" s="7"/>
      <c r="J974" s="7"/>
      <c r="K974" s="7"/>
      <c r="L974" s="7"/>
      <c r="M974" s="7"/>
      <c r="N974" s="7"/>
      <c r="O974" s="7"/>
      <c r="P974" s="7"/>
      <c r="Q974" s="7"/>
      <c r="R974" s="7"/>
      <c r="S974" s="7"/>
      <c r="T974" s="7"/>
      <c r="U974" s="7"/>
      <c r="V974" s="7"/>
      <c r="W974" s="7"/>
      <c r="X974" s="7"/>
      <c r="Y974" s="7"/>
      <c r="Z974" s="7"/>
      <c r="AA974" s="7"/>
    </row>
    <row r="975">
      <c r="A975" s="242"/>
      <c r="B975" s="242"/>
      <c r="C975" s="177"/>
      <c r="D975" s="177"/>
      <c r="E975" s="177"/>
      <c r="F975" s="177"/>
      <c r="G975" s="177"/>
      <c r="H975" s="148"/>
      <c r="I975" s="7"/>
      <c r="J975" s="7"/>
      <c r="K975" s="7"/>
      <c r="L975" s="7"/>
      <c r="M975" s="7"/>
      <c r="N975" s="7"/>
      <c r="O975" s="7"/>
      <c r="P975" s="7"/>
      <c r="Q975" s="7"/>
      <c r="R975" s="7"/>
      <c r="S975" s="7"/>
      <c r="T975" s="7"/>
      <c r="U975" s="7"/>
      <c r="V975" s="7"/>
      <c r="W975" s="7"/>
      <c r="X975" s="7"/>
      <c r="Y975" s="7"/>
      <c r="Z975" s="7"/>
      <c r="AA975" s="7"/>
    </row>
    <row r="976">
      <c r="A976" s="242"/>
      <c r="B976" s="242"/>
      <c r="C976" s="177"/>
      <c r="D976" s="177"/>
      <c r="E976" s="177"/>
      <c r="F976" s="177"/>
      <c r="G976" s="177"/>
      <c r="H976" s="148"/>
      <c r="I976" s="7"/>
      <c r="J976" s="7"/>
      <c r="K976" s="7"/>
      <c r="L976" s="7"/>
      <c r="M976" s="7"/>
      <c r="N976" s="7"/>
      <c r="O976" s="7"/>
      <c r="P976" s="7"/>
      <c r="Q976" s="7"/>
      <c r="R976" s="7"/>
      <c r="S976" s="7"/>
      <c r="T976" s="7"/>
      <c r="U976" s="7"/>
      <c r="V976" s="7"/>
      <c r="W976" s="7"/>
      <c r="X976" s="7"/>
      <c r="Y976" s="7"/>
      <c r="Z976" s="7"/>
      <c r="AA976" s="7"/>
    </row>
    <row r="977">
      <c r="A977" s="242"/>
      <c r="B977" s="242"/>
      <c r="C977" s="177"/>
      <c r="D977" s="177"/>
      <c r="E977" s="177"/>
      <c r="F977" s="177"/>
      <c r="G977" s="177"/>
      <c r="H977" s="148"/>
      <c r="I977" s="7"/>
      <c r="J977" s="7"/>
      <c r="K977" s="7"/>
      <c r="L977" s="7"/>
      <c r="M977" s="7"/>
      <c r="N977" s="7"/>
      <c r="O977" s="7"/>
      <c r="P977" s="7"/>
      <c r="Q977" s="7"/>
      <c r="R977" s="7"/>
      <c r="S977" s="7"/>
      <c r="T977" s="7"/>
      <c r="U977" s="7"/>
      <c r="V977" s="7"/>
      <c r="W977" s="7"/>
      <c r="X977" s="7"/>
      <c r="Y977" s="7"/>
      <c r="Z977" s="7"/>
      <c r="AA977" s="7"/>
    </row>
    <row r="978">
      <c r="A978" s="242"/>
      <c r="B978" s="242"/>
      <c r="C978" s="177"/>
      <c r="D978" s="177"/>
      <c r="E978" s="177"/>
      <c r="F978" s="177"/>
      <c r="G978" s="177"/>
      <c r="H978" s="148"/>
      <c r="I978" s="7"/>
      <c r="J978" s="7"/>
      <c r="K978" s="7"/>
      <c r="L978" s="7"/>
      <c r="M978" s="7"/>
      <c r="N978" s="7"/>
      <c r="O978" s="7"/>
      <c r="P978" s="7"/>
      <c r="Q978" s="7"/>
      <c r="R978" s="7"/>
      <c r="S978" s="7"/>
      <c r="T978" s="7"/>
      <c r="U978" s="7"/>
      <c r="V978" s="7"/>
      <c r="W978" s="7"/>
      <c r="X978" s="7"/>
      <c r="Y978" s="7"/>
      <c r="Z978" s="7"/>
      <c r="AA978" s="7"/>
    </row>
    <row r="979">
      <c r="A979" s="242"/>
      <c r="B979" s="242"/>
      <c r="C979" s="177"/>
      <c r="D979" s="177"/>
      <c r="E979" s="177"/>
      <c r="F979" s="177"/>
      <c r="G979" s="177"/>
      <c r="H979" s="148"/>
      <c r="I979" s="7"/>
      <c r="J979" s="7"/>
      <c r="K979" s="7"/>
      <c r="L979" s="7"/>
      <c r="M979" s="7"/>
      <c r="N979" s="7"/>
      <c r="O979" s="7"/>
      <c r="P979" s="7"/>
      <c r="Q979" s="7"/>
      <c r="R979" s="7"/>
      <c r="S979" s="7"/>
      <c r="T979" s="7"/>
      <c r="U979" s="7"/>
      <c r="V979" s="7"/>
      <c r="W979" s="7"/>
      <c r="X979" s="7"/>
      <c r="Y979" s="7"/>
      <c r="Z979" s="7"/>
      <c r="AA979" s="7"/>
    </row>
    <row r="980">
      <c r="A980" s="242"/>
      <c r="B980" s="242"/>
      <c r="C980" s="177"/>
      <c r="D980" s="177"/>
      <c r="E980" s="177"/>
      <c r="F980" s="177"/>
      <c r="G980" s="177"/>
      <c r="H980" s="148"/>
      <c r="I980" s="7"/>
      <c r="J980" s="7"/>
      <c r="K980" s="7"/>
      <c r="L980" s="7"/>
      <c r="M980" s="7"/>
      <c r="N980" s="7"/>
      <c r="O980" s="7"/>
      <c r="P980" s="7"/>
      <c r="Q980" s="7"/>
      <c r="R980" s="7"/>
      <c r="S980" s="7"/>
      <c r="T980" s="7"/>
      <c r="U980" s="7"/>
      <c r="V980" s="7"/>
      <c r="W980" s="7"/>
      <c r="X980" s="7"/>
      <c r="Y980" s="7"/>
      <c r="Z980" s="7"/>
      <c r="AA980" s="7"/>
    </row>
    <row r="981">
      <c r="A981" s="242"/>
      <c r="B981" s="242"/>
      <c r="C981" s="177"/>
      <c r="D981" s="177"/>
      <c r="E981" s="177"/>
      <c r="F981" s="177"/>
      <c r="G981" s="177"/>
      <c r="H981" s="148"/>
      <c r="I981" s="7"/>
      <c r="J981" s="7"/>
      <c r="K981" s="7"/>
      <c r="L981" s="7"/>
      <c r="M981" s="7"/>
      <c r="N981" s="7"/>
      <c r="O981" s="7"/>
      <c r="P981" s="7"/>
      <c r="Q981" s="7"/>
      <c r="R981" s="7"/>
      <c r="S981" s="7"/>
      <c r="T981" s="7"/>
      <c r="U981" s="7"/>
      <c r="V981" s="7"/>
      <c r="W981" s="7"/>
      <c r="X981" s="7"/>
      <c r="Y981" s="7"/>
      <c r="Z981" s="7"/>
      <c r="AA981" s="7"/>
    </row>
    <row r="982">
      <c r="A982" s="242"/>
      <c r="B982" s="242"/>
      <c r="C982" s="177"/>
      <c r="D982" s="177"/>
      <c r="E982" s="177"/>
      <c r="F982" s="177"/>
      <c r="G982" s="177"/>
      <c r="H982" s="148"/>
      <c r="I982" s="7"/>
      <c r="J982" s="7"/>
      <c r="K982" s="7"/>
      <c r="L982" s="7"/>
      <c r="M982" s="7"/>
      <c r="N982" s="7"/>
      <c r="O982" s="7"/>
      <c r="P982" s="7"/>
      <c r="Q982" s="7"/>
      <c r="R982" s="7"/>
      <c r="S982" s="7"/>
      <c r="T982" s="7"/>
      <c r="U982" s="7"/>
      <c r="V982" s="7"/>
      <c r="W982" s="7"/>
      <c r="X982" s="7"/>
      <c r="Y982" s="7"/>
      <c r="Z982" s="7"/>
      <c r="AA982" s="7"/>
    </row>
    <row r="983">
      <c r="A983" s="242"/>
      <c r="B983" s="242"/>
      <c r="C983" s="177"/>
      <c r="D983" s="177"/>
      <c r="E983" s="177"/>
      <c r="F983" s="177"/>
      <c r="G983" s="177"/>
      <c r="H983" s="148"/>
      <c r="I983" s="7"/>
      <c r="J983" s="7"/>
      <c r="K983" s="7"/>
      <c r="L983" s="7"/>
      <c r="M983" s="7"/>
      <c r="N983" s="7"/>
      <c r="O983" s="7"/>
      <c r="P983" s="7"/>
      <c r="Q983" s="7"/>
      <c r="R983" s="7"/>
      <c r="S983" s="7"/>
      <c r="T983" s="7"/>
      <c r="U983" s="7"/>
      <c r="V983" s="7"/>
      <c r="W983" s="7"/>
      <c r="X983" s="7"/>
      <c r="Y983" s="7"/>
      <c r="Z983" s="7"/>
      <c r="AA983" s="7"/>
    </row>
    <row r="984">
      <c r="A984" s="242"/>
      <c r="B984" s="242"/>
      <c r="C984" s="177"/>
      <c r="D984" s="177"/>
      <c r="E984" s="177"/>
      <c r="F984" s="177"/>
      <c r="G984" s="177"/>
      <c r="H984" s="148"/>
      <c r="I984" s="7"/>
      <c r="J984" s="7"/>
      <c r="K984" s="7"/>
      <c r="L984" s="7"/>
      <c r="M984" s="7"/>
      <c r="N984" s="7"/>
      <c r="O984" s="7"/>
      <c r="P984" s="7"/>
      <c r="Q984" s="7"/>
      <c r="R984" s="7"/>
      <c r="S984" s="7"/>
      <c r="T984" s="7"/>
      <c r="U984" s="7"/>
      <c r="V984" s="7"/>
      <c r="W984" s="7"/>
      <c r="X984" s="7"/>
      <c r="Y984" s="7"/>
      <c r="Z984" s="7"/>
      <c r="AA984" s="7"/>
    </row>
    <row r="985">
      <c r="A985" s="242"/>
      <c r="B985" s="242"/>
      <c r="C985" s="177"/>
      <c r="D985" s="177"/>
      <c r="E985" s="177"/>
      <c r="F985" s="177"/>
      <c r="G985" s="177"/>
      <c r="H985" s="148"/>
      <c r="I985" s="7"/>
      <c r="J985" s="7"/>
      <c r="K985" s="7"/>
      <c r="L985" s="7"/>
      <c r="M985" s="7"/>
      <c r="N985" s="7"/>
      <c r="O985" s="7"/>
      <c r="P985" s="7"/>
      <c r="Q985" s="7"/>
      <c r="R985" s="7"/>
      <c r="S985" s="7"/>
      <c r="T985" s="7"/>
      <c r="U985" s="7"/>
      <c r="V985" s="7"/>
      <c r="W985" s="7"/>
      <c r="X985" s="7"/>
      <c r="Y985" s="7"/>
      <c r="Z985" s="7"/>
      <c r="AA985" s="7"/>
    </row>
    <row r="986">
      <c r="A986" s="242"/>
      <c r="B986" s="242"/>
      <c r="C986" s="177"/>
      <c r="D986" s="177"/>
      <c r="E986" s="177"/>
      <c r="F986" s="177"/>
      <c r="G986" s="177"/>
      <c r="H986" s="148"/>
      <c r="I986" s="7"/>
      <c r="J986" s="7"/>
      <c r="K986" s="7"/>
      <c r="L986" s="7"/>
      <c r="M986" s="7"/>
      <c r="N986" s="7"/>
      <c r="O986" s="7"/>
      <c r="P986" s="7"/>
      <c r="Q986" s="7"/>
      <c r="R986" s="7"/>
      <c r="S986" s="7"/>
      <c r="T986" s="7"/>
      <c r="U986" s="7"/>
      <c r="V986" s="7"/>
      <c r="W986" s="7"/>
      <c r="X986" s="7"/>
      <c r="Y986" s="7"/>
      <c r="Z986" s="7"/>
      <c r="AA986" s="7"/>
    </row>
    <row r="987">
      <c r="A987" s="242"/>
      <c r="B987" s="242"/>
      <c r="C987" s="177"/>
      <c r="D987" s="177"/>
      <c r="E987" s="177"/>
      <c r="F987" s="177"/>
      <c r="G987" s="177"/>
      <c r="H987" s="148"/>
      <c r="I987" s="7"/>
      <c r="J987" s="7"/>
      <c r="K987" s="7"/>
      <c r="L987" s="7"/>
      <c r="M987" s="7"/>
      <c r="N987" s="7"/>
      <c r="O987" s="7"/>
      <c r="P987" s="7"/>
      <c r="Q987" s="7"/>
      <c r="R987" s="7"/>
      <c r="S987" s="7"/>
      <c r="T987" s="7"/>
      <c r="U987" s="7"/>
      <c r="V987" s="7"/>
      <c r="W987" s="7"/>
      <c r="X987" s="7"/>
      <c r="Y987" s="7"/>
      <c r="Z987" s="7"/>
      <c r="AA987" s="7"/>
    </row>
    <row r="988">
      <c r="A988" s="242"/>
      <c r="B988" s="242"/>
      <c r="C988" s="177"/>
      <c r="D988" s="177"/>
      <c r="E988" s="177"/>
      <c r="F988" s="177"/>
      <c r="G988" s="177"/>
      <c r="H988" s="148"/>
      <c r="I988" s="7"/>
      <c r="J988" s="7"/>
      <c r="K988" s="7"/>
      <c r="L988" s="7"/>
      <c r="M988" s="7"/>
      <c r="N988" s="7"/>
      <c r="O988" s="7"/>
      <c r="P988" s="7"/>
      <c r="Q988" s="7"/>
      <c r="R988" s="7"/>
      <c r="S988" s="7"/>
      <c r="T988" s="7"/>
      <c r="U988" s="7"/>
      <c r="V988" s="7"/>
      <c r="W988" s="7"/>
      <c r="X988" s="7"/>
      <c r="Y988" s="7"/>
      <c r="Z988" s="7"/>
      <c r="AA988" s="7"/>
    </row>
    <row r="989">
      <c r="A989" s="242"/>
      <c r="B989" s="242"/>
      <c r="C989" s="177"/>
      <c r="D989" s="177"/>
      <c r="E989" s="177"/>
      <c r="F989" s="177"/>
      <c r="G989" s="177"/>
      <c r="H989" s="148"/>
      <c r="I989" s="7"/>
      <c r="J989" s="7"/>
      <c r="K989" s="7"/>
      <c r="L989" s="7"/>
      <c r="M989" s="7"/>
      <c r="N989" s="7"/>
      <c r="O989" s="7"/>
      <c r="P989" s="7"/>
      <c r="Q989" s="7"/>
      <c r="R989" s="7"/>
      <c r="S989" s="7"/>
      <c r="T989" s="7"/>
      <c r="U989" s="7"/>
      <c r="V989" s="7"/>
      <c r="W989" s="7"/>
      <c r="X989" s="7"/>
      <c r="Y989" s="7"/>
      <c r="Z989" s="7"/>
      <c r="AA989" s="7"/>
    </row>
    <row r="990">
      <c r="A990" s="242"/>
      <c r="B990" s="242"/>
      <c r="C990" s="177"/>
      <c r="D990" s="177"/>
      <c r="E990" s="177"/>
      <c r="F990" s="177"/>
      <c r="G990" s="177"/>
      <c r="H990" s="148"/>
      <c r="I990" s="7"/>
      <c r="J990" s="7"/>
      <c r="K990" s="7"/>
      <c r="L990" s="7"/>
      <c r="M990" s="7"/>
      <c r="N990" s="7"/>
      <c r="O990" s="7"/>
      <c r="P990" s="7"/>
      <c r="Q990" s="7"/>
      <c r="R990" s="7"/>
      <c r="S990" s="7"/>
      <c r="T990" s="7"/>
      <c r="U990" s="7"/>
      <c r="V990" s="7"/>
      <c r="W990" s="7"/>
      <c r="X990" s="7"/>
      <c r="Y990" s="7"/>
      <c r="Z990" s="7"/>
      <c r="AA990" s="7"/>
    </row>
    <row r="991">
      <c r="A991" s="242"/>
      <c r="B991" s="242"/>
      <c r="C991" s="177"/>
      <c r="D991" s="177"/>
      <c r="E991" s="177"/>
      <c r="F991" s="177"/>
      <c r="G991" s="177"/>
      <c r="H991" s="148"/>
      <c r="I991" s="7"/>
      <c r="J991" s="7"/>
      <c r="K991" s="7"/>
      <c r="L991" s="7"/>
      <c r="M991" s="7"/>
      <c r="N991" s="7"/>
      <c r="O991" s="7"/>
      <c r="P991" s="7"/>
      <c r="Q991" s="7"/>
      <c r="R991" s="7"/>
      <c r="S991" s="7"/>
      <c r="T991" s="7"/>
      <c r="U991" s="7"/>
      <c r="V991" s="7"/>
      <c r="W991" s="7"/>
      <c r="X991" s="7"/>
      <c r="Y991" s="7"/>
      <c r="Z991" s="7"/>
      <c r="AA991" s="7"/>
    </row>
    <row r="992">
      <c r="A992" s="242"/>
      <c r="B992" s="242"/>
      <c r="C992" s="177"/>
      <c r="D992" s="177"/>
      <c r="E992" s="177"/>
      <c r="F992" s="177"/>
      <c r="G992" s="177"/>
      <c r="H992" s="148"/>
      <c r="I992" s="7"/>
      <c r="J992" s="7"/>
      <c r="K992" s="7"/>
      <c r="L992" s="7"/>
      <c r="M992" s="7"/>
      <c r="N992" s="7"/>
      <c r="O992" s="7"/>
      <c r="P992" s="7"/>
      <c r="Q992" s="7"/>
      <c r="R992" s="7"/>
      <c r="S992" s="7"/>
      <c r="T992" s="7"/>
      <c r="U992" s="7"/>
      <c r="V992" s="7"/>
      <c r="W992" s="7"/>
      <c r="X992" s="7"/>
      <c r="Y992" s="7"/>
      <c r="Z992" s="7"/>
      <c r="AA992" s="7"/>
    </row>
    <row r="993">
      <c r="A993" s="242"/>
      <c r="B993" s="242"/>
      <c r="C993" s="177"/>
      <c r="D993" s="177"/>
      <c r="E993" s="177"/>
      <c r="F993" s="177"/>
      <c r="G993" s="177"/>
      <c r="H993" s="148"/>
      <c r="I993" s="7"/>
      <c r="J993" s="7"/>
      <c r="K993" s="7"/>
      <c r="L993" s="7"/>
      <c r="M993" s="7"/>
      <c r="N993" s="7"/>
      <c r="O993" s="7"/>
      <c r="P993" s="7"/>
      <c r="Q993" s="7"/>
      <c r="R993" s="7"/>
      <c r="S993" s="7"/>
      <c r="T993" s="7"/>
      <c r="U993" s="7"/>
      <c r="V993" s="7"/>
      <c r="W993" s="7"/>
      <c r="X993" s="7"/>
      <c r="Y993" s="7"/>
      <c r="Z993" s="7"/>
      <c r="AA993" s="7"/>
    </row>
    <row r="994">
      <c r="A994" s="242"/>
      <c r="B994" s="242"/>
      <c r="C994" s="177"/>
      <c r="D994" s="177"/>
      <c r="E994" s="177"/>
      <c r="F994" s="177"/>
      <c r="G994" s="177"/>
      <c r="H994" s="148"/>
      <c r="I994" s="7"/>
      <c r="J994" s="7"/>
      <c r="K994" s="7"/>
      <c r="L994" s="7"/>
      <c r="M994" s="7"/>
      <c r="N994" s="7"/>
      <c r="O994" s="7"/>
      <c r="P994" s="7"/>
      <c r="Q994" s="7"/>
      <c r="R994" s="7"/>
      <c r="S994" s="7"/>
      <c r="T994" s="7"/>
      <c r="U994" s="7"/>
      <c r="V994" s="7"/>
      <c r="W994" s="7"/>
      <c r="X994" s="7"/>
      <c r="Y994" s="7"/>
      <c r="Z994" s="7"/>
      <c r="AA994" s="7"/>
    </row>
    <row r="995">
      <c r="A995" s="242"/>
      <c r="B995" s="242"/>
      <c r="C995" s="177"/>
      <c r="D995" s="177"/>
      <c r="E995" s="177"/>
      <c r="F995" s="177"/>
      <c r="G995" s="177"/>
      <c r="H995" s="148"/>
      <c r="I995" s="7"/>
      <c r="J995" s="7"/>
      <c r="K995" s="7"/>
      <c r="L995" s="7"/>
      <c r="M995" s="7"/>
      <c r="N995" s="7"/>
      <c r="O995" s="7"/>
      <c r="P995" s="7"/>
      <c r="Q995" s="7"/>
      <c r="R995" s="7"/>
      <c r="S995" s="7"/>
      <c r="T995" s="7"/>
      <c r="U995" s="7"/>
      <c r="V995" s="7"/>
      <c r="W995" s="7"/>
      <c r="X995" s="7"/>
      <c r="Y995" s="7"/>
      <c r="Z995" s="7"/>
      <c r="AA995" s="7"/>
    </row>
    <row r="996">
      <c r="A996" s="242"/>
      <c r="B996" s="242"/>
      <c r="C996" s="177"/>
      <c r="D996" s="177"/>
      <c r="E996" s="177"/>
      <c r="F996" s="177"/>
      <c r="G996" s="177"/>
      <c r="H996" s="148"/>
      <c r="I996" s="7"/>
      <c r="J996" s="7"/>
      <c r="K996" s="7"/>
      <c r="L996" s="7"/>
      <c r="M996" s="7"/>
      <c r="N996" s="7"/>
      <c r="O996" s="7"/>
      <c r="P996" s="7"/>
      <c r="Q996" s="7"/>
      <c r="R996" s="7"/>
      <c r="S996" s="7"/>
      <c r="T996" s="7"/>
      <c r="U996" s="7"/>
      <c r="V996" s="7"/>
      <c r="W996" s="7"/>
      <c r="X996" s="7"/>
      <c r="Y996" s="7"/>
      <c r="Z996" s="7"/>
      <c r="AA996" s="7"/>
    </row>
    <row r="997">
      <c r="A997" s="242"/>
      <c r="B997" s="242"/>
      <c r="C997" s="177"/>
      <c r="D997" s="177"/>
      <c r="E997" s="177"/>
      <c r="F997" s="177"/>
      <c r="G997" s="177"/>
      <c r="H997" s="148"/>
      <c r="I997" s="7"/>
      <c r="J997" s="7"/>
      <c r="K997" s="7"/>
      <c r="L997" s="7"/>
      <c r="M997" s="7"/>
      <c r="N997" s="7"/>
      <c r="O997" s="7"/>
      <c r="P997" s="7"/>
      <c r="Q997" s="7"/>
      <c r="R997" s="7"/>
      <c r="S997" s="7"/>
      <c r="T997" s="7"/>
      <c r="U997" s="7"/>
      <c r="V997" s="7"/>
      <c r="W997" s="7"/>
      <c r="X997" s="7"/>
      <c r="Y997" s="7"/>
      <c r="Z997" s="7"/>
      <c r="AA997" s="7"/>
    </row>
    <row r="998">
      <c r="A998" s="242"/>
      <c r="B998" s="242"/>
      <c r="C998" s="177"/>
      <c r="D998" s="177"/>
      <c r="E998" s="177"/>
      <c r="F998" s="177"/>
      <c r="G998" s="177"/>
      <c r="H998" s="148"/>
      <c r="I998" s="7"/>
      <c r="J998" s="7"/>
      <c r="K998" s="7"/>
      <c r="L998" s="7"/>
      <c r="M998" s="7"/>
      <c r="N998" s="7"/>
      <c r="O998" s="7"/>
      <c r="P998" s="7"/>
      <c r="Q998" s="7"/>
      <c r="R998" s="7"/>
      <c r="S998" s="7"/>
      <c r="T998" s="7"/>
      <c r="U998" s="7"/>
      <c r="V998" s="7"/>
      <c r="W998" s="7"/>
      <c r="X998" s="7"/>
      <c r="Y998" s="7"/>
      <c r="Z998" s="7"/>
      <c r="AA998" s="7"/>
    </row>
    <row r="999">
      <c r="A999" s="242"/>
      <c r="B999" s="242"/>
      <c r="C999" s="177"/>
      <c r="D999" s="177"/>
      <c r="E999" s="177"/>
      <c r="F999" s="177"/>
      <c r="G999" s="177"/>
      <c r="H999" s="148"/>
      <c r="I999" s="7"/>
      <c r="J999" s="7"/>
      <c r="K999" s="7"/>
      <c r="L999" s="7"/>
      <c r="M999" s="7"/>
      <c r="N999" s="7"/>
      <c r="O999" s="7"/>
      <c r="P999" s="7"/>
      <c r="Q999" s="7"/>
      <c r="R999" s="7"/>
      <c r="S999" s="7"/>
      <c r="T999" s="7"/>
      <c r="U999" s="7"/>
      <c r="V999" s="7"/>
      <c r="W999" s="7"/>
      <c r="X999" s="7"/>
      <c r="Y999" s="7"/>
      <c r="Z999" s="7"/>
      <c r="AA999" s="7"/>
    </row>
    <row r="1000">
      <c r="A1000" s="242"/>
      <c r="B1000" s="242"/>
      <c r="C1000" s="177"/>
      <c r="D1000" s="177"/>
      <c r="E1000" s="177"/>
      <c r="F1000" s="177"/>
      <c r="G1000" s="177"/>
      <c r="H1000" s="148"/>
      <c r="I1000" s="7"/>
      <c r="J1000" s="7"/>
      <c r="K1000" s="7"/>
      <c r="L1000" s="7"/>
      <c r="M1000" s="7"/>
      <c r="N1000" s="7"/>
      <c r="O1000" s="7"/>
      <c r="P1000" s="7"/>
      <c r="Q1000" s="7"/>
      <c r="R1000" s="7"/>
      <c r="S1000" s="7"/>
      <c r="T1000" s="7"/>
      <c r="U1000" s="7"/>
      <c r="V1000" s="7"/>
      <c r="W1000" s="7"/>
      <c r="X1000" s="7"/>
      <c r="Y1000" s="7"/>
      <c r="Z1000" s="7"/>
      <c r="AA1000" s="7"/>
    </row>
    <row r="1001">
      <c r="A1001" s="242"/>
      <c r="B1001" s="242"/>
      <c r="C1001" s="177"/>
      <c r="D1001" s="177"/>
      <c r="E1001" s="177"/>
      <c r="F1001" s="177"/>
      <c r="G1001" s="177"/>
      <c r="H1001" s="148"/>
      <c r="I1001" s="7"/>
      <c r="J1001" s="7"/>
      <c r="K1001" s="7"/>
      <c r="L1001" s="7"/>
      <c r="M1001" s="7"/>
      <c r="N1001" s="7"/>
      <c r="O1001" s="7"/>
      <c r="P1001" s="7"/>
      <c r="Q1001" s="7"/>
      <c r="R1001" s="7"/>
      <c r="S1001" s="7"/>
      <c r="T1001" s="7"/>
      <c r="U1001" s="7"/>
      <c r="V1001" s="7"/>
      <c r="W1001" s="7"/>
      <c r="X1001" s="7"/>
      <c r="Y1001" s="7"/>
      <c r="Z1001" s="7"/>
      <c r="AA1001" s="7"/>
    </row>
    <row r="1002">
      <c r="A1002" s="242"/>
      <c r="B1002" s="242"/>
      <c r="C1002" s="177"/>
      <c r="D1002" s="177"/>
      <c r="E1002" s="177"/>
      <c r="F1002" s="177"/>
      <c r="G1002" s="177"/>
      <c r="H1002" s="148"/>
      <c r="I1002" s="7"/>
      <c r="J1002" s="7"/>
      <c r="K1002" s="7"/>
      <c r="L1002" s="7"/>
      <c r="M1002" s="7"/>
      <c r="N1002" s="7"/>
      <c r="O1002" s="7"/>
      <c r="P1002" s="7"/>
      <c r="Q1002" s="7"/>
      <c r="R1002" s="7"/>
      <c r="S1002" s="7"/>
      <c r="T1002" s="7"/>
      <c r="U1002" s="7"/>
      <c r="V1002" s="7"/>
      <c r="W1002" s="7"/>
      <c r="X1002" s="7"/>
      <c r="Y1002" s="7"/>
      <c r="Z1002" s="7"/>
      <c r="AA1002" s="7"/>
    </row>
    <row r="1003">
      <c r="A1003" s="242"/>
      <c r="B1003" s="242"/>
      <c r="C1003" s="177"/>
      <c r="D1003" s="177"/>
      <c r="E1003" s="177"/>
      <c r="F1003" s="177"/>
      <c r="G1003" s="177"/>
      <c r="H1003" s="148"/>
      <c r="I1003" s="7"/>
      <c r="J1003" s="7"/>
      <c r="K1003" s="7"/>
      <c r="L1003" s="7"/>
      <c r="M1003" s="7"/>
      <c r="N1003" s="7"/>
      <c r="O1003" s="7"/>
      <c r="P1003" s="7"/>
      <c r="Q1003" s="7"/>
      <c r="R1003" s="7"/>
      <c r="S1003" s="7"/>
      <c r="T1003" s="7"/>
      <c r="U1003" s="7"/>
      <c r="V1003" s="7"/>
      <c r="W1003" s="7"/>
      <c r="X1003" s="7"/>
      <c r="Y1003" s="7"/>
      <c r="Z1003" s="7"/>
      <c r="AA1003" s="7"/>
    </row>
    <row r="1004">
      <c r="A1004" s="242"/>
      <c r="B1004" s="242"/>
      <c r="C1004" s="177"/>
      <c r="D1004" s="177"/>
      <c r="E1004" s="177"/>
      <c r="F1004" s="177"/>
      <c r="G1004" s="177"/>
      <c r="H1004" s="148"/>
      <c r="I1004" s="7"/>
      <c r="J1004" s="7"/>
      <c r="K1004" s="7"/>
      <c r="L1004" s="7"/>
      <c r="M1004" s="7"/>
      <c r="N1004" s="7"/>
      <c r="O1004" s="7"/>
      <c r="P1004" s="7"/>
      <c r="Q1004" s="7"/>
      <c r="R1004" s="7"/>
      <c r="S1004" s="7"/>
      <c r="T1004" s="7"/>
      <c r="U1004" s="7"/>
      <c r="V1004" s="7"/>
      <c r="W1004" s="7"/>
      <c r="X1004" s="7"/>
      <c r="Y1004" s="7"/>
      <c r="Z1004" s="7"/>
      <c r="AA1004" s="7"/>
    </row>
    <row r="1005">
      <c r="A1005" s="242"/>
      <c r="B1005" s="242"/>
      <c r="C1005" s="177"/>
      <c r="D1005" s="177"/>
      <c r="E1005" s="177"/>
      <c r="F1005" s="177"/>
      <c r="G1005" s="177"/>
      <c r="H1005" s="148"/>
      <c r="I1005" s="7"/>
      <c r="J1005" s="7"/>
      <c r="K1005" s="7"/>
      <c r="L1005" s="7"/>
      <c r="M1005" s="7"/>
      <c r="N1005" s="7"/>
      <c r="O1005" s="7"/>
      <c r="P1005" s="7"/>
      <c r="Q1005" s="7"/>
      <c r="R1005" s="7"/>
      <c r="S1005" s="7"/>
      <c r="T1005" s="7"/>
      <c r="U1005" s="7"/>
      <c r="V1005" s="7"/>
      <c r="W1005" s="7"/>
      <c r="X1005" s="7"/>
      <c r="Y1005" s="7"/>
      <c r="Z1005" s="7"/>
      <c r="AA1005" s="7"/>
    </row>
    <row r="1006">
      <c r="A1006" s="242"/>
      <c r="B1006" s="242"/>
      <c r="C1006" s="177"/>
      <c r="D1006" s="177"/>
      <c r="E1006" s="177"/>
      <c r="F1006" s="177"/>
      <c r="G1006" s="177"/>
      <c r="H1006" s="148"/>
      <c r="I1006" s="7"/>
      <c r="J1006" s="7"/>
      <c r="K1006" s="7"/>
      <c r="L1006" s="7"/>
      <c r="M1006" s="7"/>
      <c r="N1006" s="7"/>
      <c r="O1006" s="7"/>
      <c r="P1006" s="7"/>
      <c r="Q1006" s="7"/>
      <c r="R1006" s="7"/>
      <c r="S1006" s="7"/>
      <c r="T1006" s="7"/>
      <c r="U1006" s="7"/>
      <c r="V1006" s="7"/>
      <c r="W1006" s="7"/>
      <c r="X1006" s="7"/>
      <c r="Y1006" s="7"/>
      <c r="Z1006" s="7"/>
      <c r="AA1006" s="7"/>
    </row>
    <row r="1007">
      <c r="A1007" s="242"/>
      <c r="B1007" s="242"/>
      <c r="C1007" s="177"/>
      <c r="D1007" s="177"/>
      <c r="E1007" s="177"/>
      <c r="F1007" s="177"/>
      <c r="G1007" s="177"/>
      <c r="H1007" s="148"/>
      <c r="I1007" s="7"/>
      <c r="J1007" s="7"/>
      <c r="K1007" s="7"/>
      <c r="L1007" s="7"/>
      <c r="M1007" s="7"/>
      <c r="N1007" s="7"/>
      <c r="O1007" s="7"/>
      <c r="P1007" s="7"/>
      <c r="Q1007" s="7"/>
      <c r="R1007" s="7"/>
      <c r="S1007" s="7"/>
      <c r="T1007" s="7"/>
      <c r="U1007" s="7"/>
      <c r="V1007" s="7"/>
      <c r="W1007" s="7"/>
      <c r="X1007" s="7"/>
      <c r="Y1007" s="7"/>
      <c r="Z1007" s="7"/>
      <c r="AA1007" s="7"/>
    </row>
    <row r="1008">
      <c r="A1008" s="242"/>
      <c r="B1008" s="242"/>
      <c r="C1008" s="177"/>
      <c r="D1008" s="177"/>
      <c r="E1008" s="177"/>
      <c r="F1008" s="177"/>
      <c r="G1008" s="177"/>
      <c r="H1008" s="148"/>
      <c r="I1008" s="7"/>
      <c r="J1008" s="7"/>
      <c r="K1008" s="7"/>
      <c r="L1008" s="7"/>
      <c r="M1008" s="7"/>
      <c r="N1008" s="7"/>
      <c r="O1008" s="7"/>
      <c r="P1008" s="7"/>
      <c r="Q1008" s="7"/>
      <c r="R1008" s="7"/>
      <c r="S1008" s="7"/>
      <c r="T1008" s="7"/>
      <c r="U1008" s="7"/>
      <c r="V1008" s="7"/>
      <c r="W1008" s="7"/>
      <c r="X1008" s="7"/>
      <c r="Y1008" s="7"/>
      <c r="Z1008" s="7"/>
      <c r="AA1008" s="7"/>
    </row>
    <row r="1009">
      <c r="A1009" s="242"/>
      <c r="B1009" s="242"/>
      <c r="C1009" s="177"/>
      <c r="D1009" s="177"/>
      <c r="E1009" s="177"/>
      <c r="F1009" s="177"/>
      <c r="G1009" s="177"/>
      <c r="H1009" s="148"/>
      <c r="I1009" s="7"/>
      <c r="J1009" s="7"/>
      <c r="K1009" s="7"/>
      <c r="L1009" s="7"/>
      <c r="M1009" s="7"/>
      <c r="N1009" s="7"/>
      <c r="O1009" s="7"/>
      <c r="P1009" s="7"/>
      <c r="Q1009" s="7"/>
      <c r="R1009" s="7"/>
      <c r="S1009" s="7"/>
      <c r="T1009" s="7"/>
      <c r="U1009" s="7"/>
      <c r="V1009" s="7"/>
      <c r="W1009" s="7"/>
      <c r="X1009" s="7"/>
      <c r="Y1009" s="7"/>
      <c r="Z1009" s="7"/>
      <c r="AA1009" s="7"/>
    </row>
    <row r="1010">
      <c r="A1010" s="242"/>
      <c r="B1010" s="242"/>
      <c r="C1010" s="177"/>
      <c r="D1010" s="177"/>
      <c r="E1010" s="177"/>
      <c r="F1010" s="177"/>
      <c r="G1010" s="177"/>
      <c r="H1010" s="148"/>
      <c r="I1010" s="7"/>
      <c r="J1010" s="7"/>
      <c r="K1010" s="7"/>
      <c r="L1010" s="7"/>
      <c r="M1010" s="7"/>
      <c r="N1010" s="7"/>
      <c r="O1010" s="7"/>
      <c r="P1010" s="7"/>
      <c r="Q1010" s="7"/>
      <c r="R1010" s="7"/>
      <c r="S1010" s="7"/>
      <c r="T1010" s="7"/>
      <c r="U1010" s="7"/>
      <c r="V1010" s="7"/>
      <c r="W1010" s="7"/>
      <c r="X1010" s="7"/>
      <c r="Y1010" s="7"/>
      <c r="Z1010" s="7"/>
      <c r="AA1010" s="7"/>
    </row>
    <row r="1011">
      <c r="A1011" s="242"/>
      <c r="B1011" s="242"/>
      <c r="C1011" s="177"/>
      <c r="D1011" s="177"/>
      <c r="E1011" s="177"/>
      <c r="F1011" s="177"/>
      <c r="G1011" s="177"/>
      <c r="H1011" s="148"/>
      <c r="I1011" s="7"/>
      <c r="J1011" s="7"/>
      <c r="K1011" s="7"/>
      <c r="L1011" s="7"/>
      <c r="M1011" s="7"/>
      <c r="N1011" s="7"/>
      <c r="O1011" s="7"/>
      <c r="P1011" s="7"/>
      <c r="Q1011" s="7"/>
      <c r="R1011" s="7"/>
      <c r="S1011" s="7"/>
      <c r="T1011" s="7"/>
      <c r="U1011" s="7"/>
      <c r="V1011" s="7"/>
      <c r="W1011" s="7"/>
      <c r="X1011" s="7"/>
      <c r="Y1011" s="7"/>
      <c r="Z1011" s="7"/>
      <c r="AA1011" s="7"/>
    </row>
    <row r="1012">
      <c r="A1012" s="242"/>
      <c r="B1012" s="242"/>
      <c r="C1012" s="177"/>
      <c r="D1012" s="177"/>
      <c r="E1012" s="177"/>
      <c r="F1012" s="177"/>
      <c r="G1012" s="177"/>
      <c r="H1012" s="148"/>
      <c r="I1012" s="7"/>
      <c r="J1012" s="7"/>
      <c r="K1012" s="7"/>
      <c r="L1012" s="7"/>
      <c r="M1012" s="7"/>
      <c r="N1012" s="7"/>
      <c r="O1012" s="7"/>
      <c r="P1012" s="7"/>
      <c r="Q1012" s="7"/>
      <c r="R1012" s="7"/>
      <c r="S1012" s="7"/>
      <c r="T1012" s="7"/>
      <c r="U1012" s="7"/>
      <c r="V1012" s="7"/>
      <c r="W1012" s="7"/>
      <c r="X1012" s="7"/>
      <c r="Y1012" s="7"/>
      <c r="Z1012" s="7"/>
      <c r="AA1012" s="7"/>
    </row>
    <row r="1013">
      <c r="A1013" s="242"/>
      <c r="B1013" s="242"/>
      <c r="C1013" s="177"/>
      <c r="D1013" s="177"/>
      <c r="E1013" s="177"/>
      <c r="F1013" s="177"/>
      <c r="G1013" s="177"/>
      <c r="H1013" s="148"/>
      <c r="I1013" s="7"/>
      <c r="J1013" s="7"/>
      <c r="K1013" s="7"/>
      <c r="L1013" s="7"/>
      <c r="M1013" s="7"/>
      <c r="N1013" s="7"/>
      <c r="O1013" s="7"/>
      <c r="P1013" s="7"/>
      <c r="Q1013" s="7"/>
      <c r="R1013" s="7"/>
      <c r="S1013" s="7"/>
      <c r="T1013" s="7"/>
      <c r="U1013" s="7"/>
      <c r="V1013" s="7"/>
      <c r="W1013" s="7"/>
      <c r="X1013" s="7"/>
      <c r="Y1013" s="7"/>
      <c r="Z1013" s="7"/>
      <c r="AA1013" s="7"/>
    </row>
    <row r="1014">
      <c r="A1014" s="242"/>
      <c r="B1014" s="242"/>
      <c r="C1014" s="177"/>
      <c r="D1014" s="177"/>
      <c r="E1014" s="177"/>
      <c r="F1014" s="177"/>
      <c r="G1014" s="177"/>
      <c r="H1014" s="148"/>
      <c r="I1014" s="7"/>
      <c r="J1014" s="7"/>
      <c r="K1014" s="7"/>
      <c r="L1014" s="7"/>
      <c r="M1014" s="7"/>
      <c r="N1014" s="7"/>
      <c r="O1014" s="7"/>
      <c r="P1014" s="7"/>
      <c r="Q1014" s="7"/>
      <c r="R1014" s="7"/>
      <c r="S1014" s="7"/>
      <c r="T1014" s="7"/>
      <c r="U1014" s="7"/>
      <c r="V1014" s="7"/>
      <c r="W1014" s="7"/>
      <c r="X1014" s="7"/>
      <c r="Y1014" s="7"/>
      <c r="Z1014" s="7"/>
      <c r="AA1014" s="7"/>
    </row>
    <row r="1015">
      <c r="A1015" s="242"/>
      <c r="B1015" s="242"/>
      <c r="C1015" s="177"/>
      <c r="D1015" s="177"/>
      <c r="E1015" s="177"/>
      <c r="F1015" s="177"/>
      <c r="G1015" s="177"/>
      <c r="H1015" s="148"/>
      <c r="I1015" s="7"/>
      <c r="J1015" s="7"/>
      <c r="K1015" s="7"/>
      <c r="L1015" s="7"/>
      <c r="M1015" s="7"/>
      <c r="N1015" s="7"/>
      <c r="O1015" s="7"/>
      <c r="P1015" s="7"/>
      <c r="Q1015" s="7"/>
      <c r="R1015" s="7"/>
      <c r="S1015" s="7"/>
      <c r="T1015" s="7"/>
      <c r="U1015" s="7"/>
      <c r="V1015" s="7"/>
      <c r="W1015" s="7"/>
      <c r="X1015" s="7"/>
      <c r="Y1015" s="7"/>
      <c r="Z1015" s="7"/>
      <c r="AA1015" s="7"/>
    </row>
    <row r="1016">
      <c r="A1016" s="242"/>
      <c r="B1016" s="242"/>
      <c r="C1016" s="177"/>
      <c r="D1016" s="177"/>
      <c r="E1016" s="177"/>
      <c r="F1016" s="177"/>
      <c r="G1016" s="177"/>
      <c r="H1016" s="148"/>
      <c r="I1016" s="7"/>
      <c r="J1016" s="7"/>
      <c r="K1016" s="7"/>
      <c r="L1016" s="7"/>
      <c r="M1016" s="7"/>
      <c r="N1016" s="7"/>
      <c r="O1016" s="7"/>
      <c r="P1016" s="7"/>
      <c r="Q1016" s="7"/>
      <c r="R1016" s="7"/>
      <c r="S1016" s="7"/>
      <c r="T1016" s="7"/>
      <c r="U1016" s="7"/>
      <c r="V1016" s="7"/>
      <c r="W1016" s="7"/>
      <c r="X1016" s="7"/>
      <c r="Y1016" s="7"/>
      <c r="Z1016" s="7"/>
      <c r="AA1016" s="7"/>
    </row>
    <row r="1017">
      <c r="A1017" s="242"/>
      <c r="B1017" s="242"/>
      <c r="C1017" s="177"/>
      <c r="D1017" s="177"/>
      <c r="E1017" s="177"/>
      <c r="F1017" s="177"/>
      <c r="G1017" s="177"/>
      <c r="H1017" s="148"/>
      <c r="I1017" s="7"/>
      <c r="J1017" s="7"/>
      <c r="K1017" s="7"/>
      <c r="L1017" s="7"/>
      <c r="M1017" s="7"/>
      <c r="N1017" s="7"/>
      <c r="O1017" s="7"/>
      <c r="P1017" s="7"/>
      <c r="Q1017" s="7"/>
      <c r="R1017" s="7"/>
      <c r="S1017" s="7"/>
      <c r="T1017" s="7"/>
      <c r="U1017" s="7"/>
      <c r="V1017" s="7"/>
      <c r="W1017" s="7"/>
      <c r="X1017" s="7"/>
      <c r="Y1017" s="7"/>
      <c r="Z1017" s="7"/>
      <c r="AA1017" s="7"/>
    </row>
    <row r="1018">
      <c r="A1018" s="242"/>
      <c r="B1018" s="242"/>
      <c r="C1018" s="177"/>
      <c r="D1018" s="177"/>
      <c r="E1018" s="177"/>
      <c r="F1018" s="177"/>
      <c r="G1018" s="177"/>
      <c r="H1018" s="148"/>
      <c r="I1018" s="7"/>
      <c r="J1018" s="7"/>
      <c r="K1018" s="7"/>
      <c r="L1018" s="7"/>
      <c r="M1018" s="7"/>
      <c r="N1018" s="7"/>
      <c r="O1018" s="7"/>
      <c r="P1018" s="7"/>
      <c r="Q1018" s="7"/>
      <c r="R1018" s="7"/>
      <c r="S1018" s="7"/>
      <c r="T1018" s="7"/>
      <c r="U1018" s="7"/>
      <c r="V1018" s="7"/>
      <c r="W1018" s="7"/>
      <c r="X1018" s="7"/>
      <c r="Y1018" s="7"/>
      <c r="Z1018" s="7"/>
      <c r="AA1018" s="7"/>
    </row>
    <row r="1019">
      <c r="A1019" s="242"/>
      <c r="B1019" s="242"/>
      <c r="C1019" s="177"/>
      <c r="D1019" s="177"/>
      <c r="E1019" s="177"/>
      <c r="F1019" s="177"/>
      <c r="G1019" s="177"/>
      <c r="H1019" s="148"/>
      <c r="I1019" s="7"/>
      <c r="J1019" s="7"/>
      <c r="K1019" s="7"/>
      <c r="L1019" s="7"/>
      <c r="M1019" s="7"/>
      <c r="N1019" s="7"/>
      <c r="O1019" s="7"/>
      <c r="P1019" s="7"/>
      <c r="Q1019" s="7"/>
      <c r="R1019" s="7"/>
      <c r="S1019" s="7"/>
      <c r="T1019" s="7"/>
      <c r="U1019" s="7"/>
      <c r="V1019" s="7"/>
      <c r="W1019" s="7"/>
      <c r="X1019" s="7"/>
      <c r="Y1019" s="7"/>
      <c r="Z1019" s="7"/>
      <c r="AA1019" s="7"/>
    </row>
    <row r="1020">
      <c r="A1020" s="242"/>
      <c r="B1020" s="242"/>
      <c r="C1020" s="177"/>
      <c r="D1020" s="177"/>
      <c r="E1020" s="177"/>
      <c r="F1020" s="177"/>
      <c r="G1020" s="177"/>
      <c r="H1020" s="148"/>
      <c r="I1020" s="7"/>
      <c r="J1020" s="7"/>
      <c r="K1020" s="7"/>
      <c r="L1020" s="7"/>
      <c r="M1020" s="7"/>
      <c r="N1020" s="7"/>
      <c r="O1020" s="7"/>
      <c r="P1020" s="7"/>
      <c r="Q1020" s="7"/>
      <c r="R1020" s="7"/>
      <c r="S1020" s="7"/>
      <c r="T1020" s="7"/>
      <c r="U1020" s="7"/>
      <c r="V1020" s="7"/>
      <c r="W1020" s="7"/>
      <c r="X1020" s="7"/>
      <c r="Y1020" s="7"/>
      <c r="Z1020" s="7"/>
      <c r="AA1020" s="7"/>
    </row>
    <row r="1021">
      <c r="A1021" s="242"/>
      <c r="B1021" s="242"/>
      <c r="C1021" s="177"/>
      <c r="D1021" s="177"/>
      <c r="E1021" s="177"/>
      <c r="F1021" s="177"/>
      <c r="G1021" s="177"/>
      <c r="H1021" s="148"/>
      <c r="I1021" s="7"/>
      <c r="J1021" s="7"/>
      <c r="K1021" s="7"/>
      <c r="L1021" s="7"/>
      <c r="M1021" s="7"/>
      <c r="N1021" s="7"/>
      <c r="O1021" s="7"/>
      <c r="P1021" s="7"/>
      <c r="Q1021" s="7"/>
      <c r="R1021" s="7"/>
      <c r="S1021" s="7"/>
      <c r="T1021" s="7"/>
      <c r="U1021" s="7"/>
      <c r="V1021" s="7"/>
      <c r="W1021" s="7"/>
      <c r="X1021" s="7"/>
      <c r="Y1021" s="7"/>
      <c r="Z1021" s="7"/>
      <c r="AA1021" s="7"/>
    </row>
    <row r="1022">
      <c r="A1022" s="242"/>
      <c r="B1022" s="242"/>
      <c r="C1022" s="177"/>
      <c r="D1022" s="177"/>
      <c r="E1022" s="177"/>
      <c r="F1022" s="177"/>
      <c r="G1022" s="177"/>
      <c r="H1022" s="148"/>
      <c r="I1022" s="7"/>
      <c r="J1022" s="7"/>
      <c r="K1022" s="7"/>
      <c r="L1022" s="7"/>
      <c r="M1022" s="7"/>
      <c r="N1022" s="7"/>
      <c r="O1022" s="7"/>
      <c r="P1022" s="7"/>
      <c r="Q1022" s="7"/>
      <c r="R1022" s="7"/>
      <c r="S1022" s="7"/>
      <c r="T1022" s="7"/>
      <c r="U1022" s="7"/>
      <c r="V1022" s="7"/>
      <c r="W1022" s="7"/>
      <c r="X1022" s="7"/>
      <c r="Y1022" s="7"/>
      <c r="Z1022" s="7"/>
      <c r="AA1022" s="7"/>
    </row>
    <row r="1023">
      <c r="A1023" s="242"/>
      <c r="B1023" s="242"/>
      <c r="C1023" s="177"/>
      <c r="D1023" s="177"/>
      <c r="E1023" s="177"/>
      <c r="F1023" s="177"/>
      <c r="G1023" s="177"/>
      <c r="H1023" s="148"/>
      <c r="I1023" s="7"/>
      <c r="J1023" s="7"/>
      <c r="K1023" s="7"/>
      <c r="L1023" s="7"/>
      <c r="M1023" s="7"/>
      <c r="N1023" s="7"/>
      <c r="O1023" s="7"/>
      <c r="P1023" s="7"/>
      <c r="Q1023" s="7"/>
      <c r="R1023" s="7"/>
      <c r="S1023" s="7"/>
      <c r="T1023" s="7"/>
      <c r="U1023" s="7"/>
      <c r="V1023" s="7"/>
      <c r="W1023" s="7"/>
      <c r="X1023" s="7"/>
      <c r="Y1023" s="7"/>
      <c r="Z1023" s="7"/>
      <c r="AA1023" s="7"/>
    </row>
    <row r="1024">
      <c r="A1024" s="242"/>
      <c r="B1024" s="242"/>
      <c r="C1024" s="177"/>
      <c r="D1024" s="177"/>
      <c r="E1024" s="177"/>
      <c r="F1024" s="177"/>
      <c r="G1024" s="177"/>
      <c r="H1024" s="148"/>
      <c r="I1024" s="7"/>
      <c r="J1024" s="7"/>
      <c r="K1024" s="7"/>
      <c r="L1024" s="7"/>
      <c r="M1024" s="7"/>
      <c r="N1024" s="7"/>
      <c r="O1024" s="7"/>
      <c r="P1024" s="7"/>
      <c r="Q1024" s="7"/>
      <c r="R1024" s="7"/>
      <c r="S1024" s="7"/>
      <c r="T1024" s="7"/>
      <c r="U1024" s="7"/>
      <c r="V1024" s="7"/>
      <c r="W1024" s="7"/>
      <c r="X1024" s="7"/>
      <c r="Y1024" s="7"/>
      <c r="Z1024" s="7"/>
      <c r="AA1024" s="7"/>
    </row>
    <row r="1025">
      <c r="A1025" s="242"/>
      <c r="B1025" s="242"/>
      <c r="C1025" s="177"/>
      <c r="D1025" s="177"/>
      <c r="E1025" s="177"/>
      <c r="F1025" s="177"/>
      <c r="G1025" s="177"/>
      <c r="H1025" s="148"/>
      <c r="I1025" s="7"/>
      <c r="J1025" s="7"/>
      <c r="K1025" s="7"/>
      <c r="L1025" s="7"/>
      <c r="M1025" s="7"/>
      <c r="N1025" s="7"/>
      <c r="O1025" s="7"/>
      <c r="P1025" s="7"/>
      <c r="Q1025" s="7"/>
      <c r="R1025" s="7"/>
      <c r="S1025" s="7"/>
      <c r="T1025" s="7"/>
      <c r="U1025" s="7"/>
      <c r="V1025" s="7"/>
      <c r="W1025" s="7"/>
      <c r="X1025" s="7"/>
      <c r="Y1025" s="7"/>
      <c r="Z1025" s="7"/>
      <c r="AA1025" s="7"/>
    </row>
    <row r="1026">
      <c r="A1026" s="242"/>
      <c r="B1026" s="242"/>
      <c r="C1026" s="177"/>
      <c r="D1026" s="177"/>
      <c r="E1026" s="177"/>
      <c r="F1026" s="177"/>
      <c r="G1026" s="177"/>
      <c r="H1026" s="148"/>
      <c r="I1026" s="7"/>
      <c r="J1026" s="7"/>
      <c r="K1026" s="7"/>
      <c r="L1026" s="7"/>
      <c r="M1026" s="7"/>
      <c r="N1026" s="7"/>
      <c r="O1026" s="7"/>
      <c r="P1026" s="7"/>
      <c r="Q1026" s="7"/>
      <c r="R1026" s="7"/>
      <c r="S1026" s="7"/>
      <c r="T1026" s="7"/>
      <c r="U1026" s="7"/>
      <c r="V1026" s="7"/>
      <c r="W1026" s="7"/>
      <c r="X1026" s="7"/>
      <c r="Y1026" s="7"/>
      <c r="Z1026" s="7"/>
      <c r="AA1026" s="7"/>
    </row>
    <row r="1027">
      <c r="A1027" s="242"/>
      <c r="B1027" s="242"/>
      <c r="C1027" s="177"/>
      <c r="D1027" s="177"/>
      <c r="E1027" s="177"/>
      <c r="F1027" s="177"/>
      <c r="G1027" s="177"/>
      <c r="H1027" s="148"/>
      <c r="I1027" s="7"/>
      <c r="J1027" s="7"/>
      <c r="K1027" s="7"/>
      <c r="L1027" s="7"/>
      <c r="M1027" s="7"/>
      <c r="N1027" s="7"/>
      <c r="O1027" s="7"/>
      <c r="P1027" s="7"/>
      <c r="Q1027" s="7"/>
      <c r="R1027" s="7"/>
      <c r="S1027" s="7"/>
      <c r="T1027" s="7"/>
      <c r="U1027" s="7"/>
      <c r="V1027" s="7"/>
      <c r="W1027" s="7"/>
      <c r="X1027" s="7"/>
      <c r="Y1027" s="7"/>
      <c r="Z1027" s="7"/>
      <c r="AA1027" s="7"/>
    </row>
    <row r="1028">
      <c r="A1028" s="242"/>
      <c r="B1028" s="242"/>
      <c r="C1028" s="177"/>
      <c r="D1028" s="177"/>
      <c r="E1028" s="177"/>
      <c r="F1028" s="177"/>
      <c r="G1028" s="177"/>
      <c r="H1028" s="148"/>
      <c r="I1028" s="7"/>
      <c r="J1028" s="7"/>
      <c r="K1028" s="7"/>
      <c r="L1028" s="7"/>
      <c r="M1028" s="7"/>
      <c r="N1028" s="7"/>
      <c r="O1028" s="7"/>
      <c r="P1028" s="7"/>
      <c r="Q1028" s="7"/>
      <c r="R1028" s="7"/>
      <c r="S1028" s="7"/>
      <c r="T1028" s="7"/>
      <c r="U1028" s="7"/>
      <c r="V1028" s="7"/>
      <c r="W1028" s="7"/>
      <c r="X1028" s="7"/>
      <c r="Y1028" s="7"/>
      <c r="Z1028" s="7"/>
      <c r="AA1028" s="7"/>
    </row>
  </sheetData>
  <mergeCells count="7">
    <mergeCell ref="A1:N1"/>
    <mergeCell ref="H3:H62"/>
    <mergeCell ref="A64:N64"/>
    <mergeCell ref="A74:N74"/>
    <mergeCell ref="A109:N109"/>
    <mergeCell ref="A138:O138"/>
    <mergeCell ref="A185:O185"/>
  </mergeCells>
  <printOptions gridLines="1" horizontalCentered="1"/>
  <pageMargins bottom="0.75" footer="0.0" header="0.0" left="0.7" right="0.7" top="0.75"/>
  <pageSetup fitToHeight="0" paperSize="9" cellComments="atEnd" orientation="portrait" pageOrder="overThenDown"/>
  <drawing ns1:id="rId1"/>
  <tableParts count="2">
    <tablePart ns1:id="rId4"/>
    <tablePart ns1: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7.63"/>
    <col customWidth="1" min="3" max="3" width="40.13"/>
    <col customWidth="1" min="4" max="4" width="20.13"/>
    <col customWidth="1" min="5" max="6" width="35.13"/>
    <col customWidth="1" min="7" max="7" width="30.13"/>
    <col customWidth="1" min="8" max="8" width="22.63"/>
    <col customWidth="1" min="9" max="9" width="50.13"/>
    <col customWidth="1" min="10" max="10" width="22.63"/>
    <col customWidth="1" min="11" max="11" width="21.38"/>
    <col customWidth="1" min="12" max="12" width="31.38"/>
    <col customWidth="1" min="13" max="13" width="45.13"/>
  </cols>
  <sheetData>
    <row r="1" ht="27.0" customHeight="1">
      <c r="A1" s="2" t="s">
        <v>1</v>
      </c>
      <c r="B1" s="5" t="s">
        <v>3</v>
      </c>
      <c r="C1" s="5" t="s">
        <v>4</v>
      </c>
      <c r="D1" s="5" t="s">
        <v>5</v>
      </c>
      <c r="E1" s="5" t="s">
        <v>6</v>
      </c>
      <c r="F1" s="5" t="s">
        <v>7</v>
      </c>
      <c r="G1" s="5" t="s">
        <v>10</v>
      </c>
      <c r="H1" s="5" t="s">
        <v>9</v>
      </c>
      <c r="I1" s="5" t="s">
        <v>11</v>
      </c>
      <c r="J1" s="5" t="s">
        <v>12</v>
      </c>
      <c r="K1" s="5" t="s">
        <v>13</v>
      </c>
      <c r="L1" s="5" t="s">
        <v>14</v>
      </c>
      <c r="M1" s="9" t="s">
        <v>16</v>
      </c>
    </row>
    <row r="2">
      <c r="A2" s="13" t="s">
        <v>18</v>
      </c>
      <c r="B2" s="15" t="s">
        <v>22</v>
      </c>
      <c r="C2" s="15" t="s">
        <v>23</v>
      </c>
      <c r="D2" s="15" t="s">
        <v>26</v>
      </c>
      <c r="E2" s="15" t="s">
        <v>27</v>
      </c>
      <c r="F2" s="15" t="s">
        <v>28</v>
      </c>
      <c r="G2" s="15" t="s">
        <v>29</v>
      </c>
      <c r="H2" s="15" t="s">
        <v>30</v>
      </c>
      <c r="I2" s="15" t="s">
        <v>30</v>
      </c>
      <c r="J2" s="15" t="s">
        <v>33</v>
      </c>
      <c r="K2" s="15" t="s">
        <v>34</v>
      </c>
      <c r="L2" s="15" t="s">
        <v>35</v>
      </c>
      <c r="M2" s="21" t="s">
        <v>37</v>
      </c>
    </row>
    <row r="3">
      <c r="A3" s="13" t="s">
        <v>41</v>
      </c>
      <c r="B3" s="15" t="s">
        <v>42</v>
      </c>
      <c r="C3" s="15" t="s">
        <v>44</v>
      </c>
      <c r="D3" s="15" t="s">
        <v>46</v>
      </c>
      <c r="E3" s="15" t="s">
        <v>47</v>
      </c>
      <c r="F3" s="15" t="s">
        <v>49</v>
      </c>
      <c r="G3" s="27" t="e">
        <v>#NAME?</v>
      </c>
      <c r="H3" s="15" t="s">
        <v>30</v>
      </c>
      <c r="I3" s="15" t="s">
        <v>30</v>
      </c>
      <c r="J3" s="15" t="s">
        <v>56</v>
      </c>
      <c r="K3" s="15" t="s">
        <v>34</v>
      </c>
      <c r="L3" s="15" t="s">
        <v>59</v>
      </c>
      <c r="M3" s="21" t="s">
        <v>61</v>
      </c>
    </row>
    <row r="4">
      <c r="A4" s="13" t="s">
        <v>64</v>
      </c>
      <c r="B4" s="15" t="s">
        <v>65</v>
      </c>
      <c r="C4" s="15" t="s">
        <v>67</v>
      </c>
      <c r="D4" s="15" t="s">
        <v>69</v>
      </c>
      <c r="E4" s="15" t="s">
        <v>72</v>
      </c>
      <c r="F4" s="15" t="s">
        <v>75</v>
      </c>
      <c r="G4" s="27" t="e">
        <v>#NAME?</v>
      </c>
      <c r="H4" s="15" t="s">
        <v>30</v>
      </c>
      <c r="I4" s="15" t="s">
        <v>30</v>
      </c>
      <c r="J4" s="15" t="s">
        <v>78</v>
      </c>
      <c r="K4" s="15" t="s">
        <v>79</v>
      </c>
      <c r="L4" s="15" t="s">
        <v>81</v>
      </c>
      <c r="M4" s="21" t="s">
        <v>86</v>
      </c>
    </row>
    <row r="5">
      <c r="A5" s="13" t="s">
        <v>87</v>
      </c>
      <c r="B5" s="15" t="s">
        <v>90</v>
      </c>
      <c r="C5" s="15" t="s">
        <v>93</v>
      </c>
      <c r="D5" s="15" t="s">
        <v>94</v>
      </c>
      <c r="E5" s="15" t="s">
        <v>98</v>
      </c>
      <c r="F5" s="15" t="s">
        <v>100</v>
      </c>
      <c r="G5" s="15" t="s">
        <v>101</v>
      </c>
      <c r="H5" s="15" t="s">
        <v>30</v>
      </c>
      <c r="I5" s="15" t="s">
        <v>30</v>
      </c>
      <c r="J5" s="15" t="s">
        <v>104</v>
      </c>
      <c r="K5" s="15" t="s">
        <v>79</v>
      </c>
      <c r="L5" s="15" t="s">
        <v>106</v>
      </c>
      <c r="M5" s="21" t="s">
        <v>107</v>
      </c>
    </row>
    <row r="6">
      <c r="A6" s="13" t="s">
        <v>109</v>
      </c>
      <c r="B6" s="15" t="s">
        <v>110</v>
      </c>
      <c r="C6" s="15" t="s">
        <v>112</v>
      </c>
      <c r="D6" s="15" t="s">
        <v>69</v>
      </c>
      <c r="E6" s="15" t="s">
        <v>119</v>
      </c>
      <c r="F6" s="15" t="s">
        <v>126</v>
      </c>
      <c r="G6" s="15" t="s">
        <v>130</v>
      </c>
      <c r="H6" s="15" t="s">
        <v>30</v>
      </c>
      <c r="I6" s="15" t="s">
        <v>30</v>
      </c>
      <c r="J6" s="15" t="s">
        <v>134</v>
      </c>
      <c r="K6" s="15" t="s">
        <v>136</v>
      </c>
      <c r="L6" s="15" t="s">
        <v>138</v>
      </c>
      <c r="M6" s="21" t="s">
        <v>142</v>
      </c>
    </row>
    <row r="7">
      <c r="A7" s="13" t="s">
        <v>145</v>
      </c>
      <c r="B7" s="15" t="s">
        <v>149</v>
      </c>
      <c r="C7" s="15" t="s">
        <v>152</v>
      </c>
      <c r="D7" s="15" t="s">
        <v>153</v>
      </c>
      <c r="E7" s="15" t="s">
        <v>156</v>
      </c>
      <c r="F7" s="15" t="s">
        <v>159</v>
      </c>
      <c r="G7" s="27" t="e">
        <v>#NAME?</v>
      </c>
      <c r="H7" s="15" t="s">
        <v>30</v>
      </c>
      <c r="I7" s="15" t="s">
        <v>30</v>
      </c>
      <c r="J7" s="15" t="s">
        <v>161</v>
      </c>
      <c r="K7" s="15" t="s">
        <v>136</v>
      </c>
      <c r="L7" s="15" t="s">
        <v>138</v>
      </c>
      <c r="M7" s="21" t="s">
        <v>162</v>
      </c>
    </row>
    <row r="8">
      <c r="A8" s="13" t="s">
        <v>164</v>
      </c>
      <c r="B8" s="15" t="s">
        <v>165</v>
      </c>
      <c r="C8" s="15" t="s">
        <v>168</v>
      </c>
      <c r="D8" s="15" t="s">
        <v>169</v>
      </c>
      <c r="E8" s="15" t="s">
        <v>171</v>
      </c>
      <c r="F8" s="15" t="s">
        <v>175</v>
      </c>
      <c r="G8" s="15" t="s">
        <v>177</v>
      </c>
      <c r="H8" s="15" t="s">
        <v>30</v>
      </c>
      <c r="I8" s="15" t="s">
        <v>30</v>
      </c>
      <c r="J8" s="15" t="s">
        <v>180</v>
      </c>
      <c r="K8" s="15" t="s">
        <v>183</v>
      </c>
      <c r="L8" s="15" t="s">
        <v>186</v>
      </c>
      <c r="M8" s="21" t="s">
        <v>191</v>
      </c>
    </row>
    <row r="9">
      <c r="A9" s="13" t="s">
        <v>194</v>
      </c>
      <c r="B9" s="15" t="s">
        <v>195</v>
      </c>
      <c r="C9" s="15" t="s">
        <v>198</v>
      </c>
      <c r="D9" s="15" t="s">
        <v>169</v>
      </c>
      <c r="E9" s="15" t="s">
        <v>203</v>
      </c>
      <c r="F9" s="15" t="s">
        <v>206</v>
      </c>
      <c r="G9" s="15" t="s">
        <v>207</v>
      </c>
      <c r="H9" s="15" t="s">
        <v>30</v>
      </c>
      <c r="I9" s="15" t="s">
        <v>30</v>
      </c>
      <c r="J9" s="15" t="s">
        <v>209</v>
      </c>
      <c r="K9" s="15" t="s">
        <v>211</v>
      </c>
      <c r="L9" s="15" t="s">
        <v>215</v>
      </c>
      <c r="M9" s="21" t="s">
        <v>219</v>
      </c>
    </row>
    <row r="10">
      <c r="A10" s="13" t="s">
        <v>221</v>
      </c>
      <c r="B10" s="15" t="s">
        <v>223</v>
      </c>
      <c r="C10" s="15" t="s">
        <v>224</v>
      </c>
      <c r="D10" s="15" t="s">
        <v>69</v>
      </c>
      <c r="E10" s="15" t="s">
        <v>228</v>
      </c>
      <c r="F10" s="15" t="s">
        <v>231</v>
      </c>
      <c r="G10" s="27" t="e">
        <v>#NAME?</v>
      </c>
      <c r="H10" s="15" t="s">
        <v>30</v>
      </c>
      <c r="I10" s="15" t="s">
        <v>30</v>
      </c>
      <c r="J10" s="15" t="s">
        <v>236</v>
      </c>
      <c r="K10" s="15" t="s">
        <v>239</v>
      </c>
      <c r="L10" s="15" t="s">
        <v>240</v>
      </c>
      <c r="M10" s="21" t="s">
        <v>244</v>
      </c>
    </row>
    <row r="11">
      <c r="A11" s="13" t="s">
        <v>246</v>
      </c>
      <c r="B11" s="15" t="s">
        <v>247</v>
      </c>
      <c r="C11" s="15" t="s">
        <v>250</v>
      </c>
      <c r="D11" s="15" t="s">
        <v>251</v>
      </c>
      <c r="E11" s="27" t="e">
        <v>#NAME?</v>
      </c>
      <c r="F11" s="15" t="s">
        <v>253</v>
      </c>
      <c r="G11" s="27" t="e">
        <v>#NAME?</v>
      </c>
      <c r="H11" s="15" t="s">
        <v>257</v>
      </c>
      <c r="I11" s="47" t="s">
        <v>264</v>
      </c>
      <c r="J11" s="15" t="s">
        <v>274</v>
      </c>
      <c r="K11" s="15" t="s">
        <v>276</v>
      </c>
      <c r="L11" s="15" t="s">
        <v>279</v>
      </c>
      <c r="M11" s="21" t="s">
        <v>284</v>
      </c>
    </row>
    <row r="12">
      <c r="A12" s="13" t="s">
        <v>285</v>
      </c>
      <c r="B12" s="15" t="s">
        <v>287</v>
      </c>
      <c r="C12" s="15" t="s">
        <v>289</v>
      </c>
      <c r="D12" s="15" t="s">
        <v>291</v>
      </c>
      <c r="E12" s="15" t="s">
        <v>295</v>
      </c>
      <c r="F12" s="27" t="e">
        <v>#NAME?</v>
      </c>
      <c r="G12" s="15" t="s">
        <v>298</v>
      </c>
      <c r="H12" s="15" t="s">
        <v>300</v>
      </c>
      <c r="I12" s="15" t="s">
        <v>302</v>
      </c>
      <c r="J12" s="15" t="s">
        <v>304</v>
      </c>
      <c r="K12" s="15" t="s">
        <v>306</v>
      </c>
      <c r="L12" s="15" t="s">
        <v>309</v>
      </c>
      <c r="M12" s="21" t="s">
        <v>315</v>
      </c>
    </row>
    <row r="13">
      <c r="A13" s="13" t="s">
        <v>317</v>
      </c>
      <c r="B13" s="15" t="s">
        <v>318</v>
      </c>
      <c r="C13" s="15" t="s">
        <v>321</v>
      </c>
      <c r="D13" s="15" t="s">
        <v>324</v>
      </c>
      <c r="E13" s="15" t="s">
        <v>327</v>
      </c>
      <c r="F13" s="15" t="s">
        <v>329</v>
      </c>
      <c r="G13" s="27" t="e">
        <v>#NAME?</v>
      </c>
      <c r="H13" s="15" t="s">
        <v>30</v>
      </c>
      <c r="I13" s="15" t="s">
        <v>333</v>
      </c>
      <c r="J13" s="15" t="s">
        <v>334</v>
      </c>
      <c r="K13" s="15" t="s">
        <v>276</v>
      </c>
      <c r="L13" s="27" t="e">
        <v>#NAME?</v>
      </c>
      <c r="M13" s="21" t="s">
        <v>339</v>
      </c>
    </row>
    <row r="14">
      <c r="A14" s="13" t="s">
        <v>343</v>
      </c>
      <c r="B14" s="15" t="s">
        <v>345</v>
      </c>
      <c r="C14" s="15" t="s">
        <v>346</v>
      </c>
      <c r="D14" s="15" t="s">
        <v>69</v>
      </c>
      <c r="E14" s="15" t="s">
        <v>350</v>
      </c>
      <c r="F14" s="15" t="s">
        <v>353</v>
      </c>
      <c r="G14" s="15" t="s">
        <v>356</v>
      </c>
      <c r="H14" s="15" t="s">
        <v>30</v>
      </c>
      <c r="I14" s="15" t="s">
        <v>30</v>
      </c>
      <c r="J14" s="15" t="s">
        <v>358</v>
      </c>
      <c r="K14" s="15" t="s">
        <v>239</v>
      </c>
      <c r="L14" s="15" t="s">
        <v>240</v>
      </c>
      <c r="M14" s="21" t="s">
        <v>365</v>
      </c>
    </row>
    <row r="15">
      <c r="A15" s="13" t="s">
        <v>367</v>
      </c>
      <c r="B15" s="15" t="s">
        <v>368</v>
      </c>
      <c r="C15" s="15" t="s">
        <v>370</v>
      </c>
      <c r="D15" s="15" t="s">
        <v>69</v>
      </c>
      <c r="E15" s="15" t="s">
        <v>371</v>
      </c>
      <c r="F15" s="15" t="s">
        <v>373</v>
      </c>
      <c r="G15" s="27" t="e">
        <v>#NAME?</v>
      </c>
      <c r="H15" s="15" t="s">
        <v>30</v>
      </c>
      <c r="I15" s="15" t="s">
        <v>30</v>
      </c>
      <c r="J15" s="15" t="s">
        <v>358</v>
      </c>
      <c r="K15" s="15" t="s">
        <v>239</v>
      </c>
      <c r="L15" s="15" t="s">
        <v>379</v>
      </c>
      <c r="M15" s="21" t="s">
        <v>382</v>
      </c>
    </row>
    <row r="16">
      <c r="A16" s="52" t="s">
        <v>385</v>
      </c>
      <c r="B16" s="53" t="s">
        <v>392</v>
      </c>
      <c r="C16" s="53" t="s">
        <v>397</v>
      </c>
      <c r="D16" s="53" t="s">
        <v>400</v>
      </c>
      <c r="E16" s="53" t="s">
        <v>401</v>
      </c>
      <c r="F16" s="53" t="s">
        <v>404</v>
      </c>
      <c r="G16" s="53" t="s">
        <v>30</v>
      </c>
      <c r="H16" s="53" t="s">
        <v>406</v>
      </c>
      <c r="I16" s="53" t="s">
        <v>409</v>
      </c>
      <c r="J16" s="53" t="s">
        <v>412</v>
      </c>
      <c r="K16" s="53" t="s">
        <v>306</v>
      </c>
      <c r="L16" s="53" t="s">
        <v>417</v>
      </c>
      <c r="M16" s="54" t="s">
        <v>421</v>
      </c>
    </row>
    <row r="17">
      <c r="A17" s="52" t="s">
        <v>425</v>
      </c>
      <c r="B17" s="53" t="s">
        <v>428</v>
      </c>
      <c r="C17" s="53" t="s">
        <v>429</v>
      </c>
      <c r="D17" s="53" t="s">
        <v>69</v>
      </c>
      <c r="E17" s="53" t="s">
        <v>433</v>
      </c>
      <c r="F17" s="53" t="s">
        <v>435</v>
      </c>
      <c r="G17" s="53" t="s">
        <v>436</v>
      </c>
      <c r="H17" s="53" t="s">
        <v>30</v>
      </c>
      <c r="I17" s="53" t="s">
        <v>30</v>
      </c>
      <c r="J17" s="53" t="s">
        <v>438</v>
      </c>
      <c r="K17" s="53" t="s">
        <v>440</v>
      </c>
      <c r="L17" s="53" t="s">
        <v>443</v>
      </c>
      <c r="M17" s="54" t="s">
        <v>445</v>
      </c>
    </row>
    <row r="18">
      <c r="A18" s="52" t="s">
        <v>447</v>
      </c>
      <c r="B18" s="53" t="s">
        <v>450</v>
      </c>
      <c r="C18" s="53" t="s">
        <v>453</v>
      </c>
      <c r="D18" s="53" t="s">
        <v>454</v>
      </c>
      <c r="E18" s="53" t="s">
        <v>456</v>
      </c>
      <c r="F18" s="55" t="e">
        <v>#NAME?</v>
      </c>
      <c r="G18" s="53" t="s">
        <v>30</v>
      </c>
      <c r="H18" s="53" t="s">
        <v>30</v>
      </c>
      <c r="I18" s="53" t="s">
        <v>30</v>
      </c>
      <c r="J18" s="53" t="s">
        <v>460</v>
      </c>
      <c r="K18" s="53" t="s">
        <v>462</v>
      </c>
      <c r="L18" s="55" t="e">
        <v>#NAME?</v>
      </c>
      <c r="M18" s="54" t="s">
        <v>467</v>
      </c>
    </row>
    <row r="19">
      <c r="A19" s="56" t="s">
        <v>470</v>
      </c>
      <c r="B19" s="57" t="s">
        <v>476</v>
      </c>
      <c r="C19" s="57" t="s">
        <v>480</v>
      </c>
      <c r="D19" s="57" t="s">
        <v>482</v>
      </c>
      <c r="E19" s="57" t="s">
        <v>485</v>
      </c>
      <c r="F19" s="58" t="e">
        <v>#NAME?</v>
      </c>
      <c r="G19" s="57" t="s">
        <v>30</v>
      </c>
      <c r="H19" s="57" t="s">
        <v>491</v>
      </c>
      <c r="I19" s="57" t="s">
        <v>493</v>
      </c>
      <c r="J19" s="57" t="s">
        <v>494</v>
      </c>
      <c r="K19" s="57" t="s">
        <v>306</v>
      </c>
      <c r="L19" s="58" t="e">
        <v>#NAME?</v>
      </c>
      <c r="M19" s="59" t="s">
        <v>501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75"/>
    <col customWidth="1" min="2" max="2" width="27.63"/>
    <col customWidth="1" min="3" max="3" width="45.13"/>
    <col customWidth="1" min="4" max="4" width="20.13"/>
    <col customWidth="1" min="5" max="5" width="45.13"/>
    <col customWidth="1" min="6" max="6" width="42.63"/>
    <col customWidth="1" min="7" max="7" width="35.13"/>
    <col customWidth="1" min="8" max="8" width="27.63"/>
    <col customWidth="1" min="9" max="9" width="25.13"/>
    <col customWidth="1" min="10" max="10" width="16.38"/>
    <col customWidth="1" min="11" max="11" width="22.63"/>
    <col customWidth="1" min="12" max="12" width="37.63"/>
    <col customWidth="1" min="13" max="13" width="52.63"/>
  </cols>
  <sheetData>
    <row r="1" ht="27.0" customHeight="1">
      <c r="A1" s="1" t="s">
        <v>0</v>
      </c>
      <c r="B1" s="4" t="s">
        <v>2</v>
      </c>
      <c r="C1" s="4" t="s">
        <v>4</v>
      </c>
      <c r="D1" s="4" t="s">
        <v>5</v>
      </c>
      <c r="E1" s="4" t="s">
        <v>6</v>
      </c>
      <c r="F1" s="4" t="s">
        <v>7</v>
      </c>
      <c r="G1" s="4" t="s">
        <v>8</v>
      </c>
      <c r="H1" s="4" t="s">
        <v>9</v>
      </c>
      <c r="I1" s="4" t="s">
        <v>11</v>
      </c>
      <c r="J1" s="4" t="s">
        <v>12</v>
      </c>
      <c r="K1" s="4" t="s">
        <v>13</v>
      </c>
      <c r="L1" s="4" t="s">
        <v>14</v>
      </c>
      <c r="M1" s="8" t="s">
        <v>15</v>
      </c>
    </row>
    <row r="2" ht="82.5" customHeight="1">
      <c r="A2" s="11" t="s">
        <v>17</v>
      </c>
      <c r="B2" s="14" t="s">
        <v>21</v>
      </c>
      <c r="C2" s="17" t="s">
        <v>24</v>
      </c>
      <c r="D2" s="19" t="s">
        <v>31</v>
      </c>
      <c r="E2" s="17" t="s">
        <v>36</v>
      </c>
      <c r="F2" s="17" t="s">
        <v>38</v>
      </c>
      <c r="G2" s="17" t="s">
        <v>40</v>
      </c>
      <c r="H2" s="17" t="s">
        <v>43</v>
      </c>
      <c r="I2" s="17" t="s">
        <v>45</v>
      </c>
      <c r="J2" s="19" t="s">
        <v>48</v>
      </c>
      <c r="K2" s="17" t="s">
        <v>50</v>
      </c>
      <c r="L2" s="17" t="s">
        <v>51</v>
      </c>
      <c r="M2" s="28" t="s">
        <v>54</v>
      </c>
    </row>
    <row r="3" ht="82.5" customHeight="1">
      <c r="A3" s="31" t="s">
        <v>60</v>
      </c>
      <c r="B3" s="33" t="s">
        <v>70</v>
      </c>
      <c r="C3" s="35" t="s">
        <v>77</v>
      </c>
      <c r="D3" s="37" t="s">
        <v>83</v>
      </c>
      <c r="E3" s="35" t="s">
        <v>89</v>
      </c>
      <c r="F3" s="35" t="s">
        <v>91</v>
      </c>
      <c r="G3" s="35" t="s">
        <v>95</v>
      </c>
      <c r="H3" s="35" t="s">
        <v>97</v>
      </c>
      <c r="I3" s="35" t="s">
        <v>99</v>
      </c>
      <c r="J3" s="37" t="s">
        <v>102</v>
      </c>
      <c r="K3" s="35" t="s">
        <v>103</v>
      </c>
      <c r="L3" s="35" t="s">
        <v>105</v>
      </c>
      <c r="M3" s="44" t="s">
        <v>108</v>
      </c>
    </row>
    <row r="4" ht="82.5" customHeight="1">
      <c r="A4" s="11" t="s">
        <v>113</v>
      </c>
      <c r="B4" s="14" t="s">
        <v>115</v>
      </c>
      <c r="C4" s="17" t="s">
        <v>118</v>
      </c>
      <c r="D4" s="19" t="s">
        <v>121</v>
      </c>
      <c r="E4" s="17" t="s">
        <v>122</v>
      </c>
      <c r="F4" s="17" t="s">
        <v>124</v>
      </c>
      <c r="G4" s="17" t="s">
        <v>127</v>
      </c>
      <c r="H4" s="17" t="s">
        <v>129</v>
      </c>
      <c r="I4" s="17" t="s">
        <v>131</v>
      </c>
      <c r="J4" s="19" t="s">
        <v>133</v>
      </c>
      <c r="K4" s="17" t="s">
        <v>103</v>
      </c>
      <c r="L4" s="17" t="s">
        <v>137</v>
      </c>
      <c r="M4" s="28" t="s">
        <v>139</v>
      </c>
    </row>
    <row r="5" ht="82.5" customHeight="1">
      <c r="A5" s="31" t="s">
        <v>141</v>
      </c>
      <c r="B5" s="33"/>
      <c r="C5" s="35" t="s">
        <v>144</v>
      </c>
      <c r="D5" s="37" t="s">
        <v>146</v>
      </c>
      <c r="E5" s="35" t="s">
        <v>148</v>
      </c>
      <c r="F5" s="35" t="s">
        <v>150</v>
      </c>
      <c r="G5" s="35" t="s">
        <v>154</v>
      </c>
      <c r="H5" s="35" t="s">
        <v>155</v>
      </c>
      <c r="I5" s="35" t="s">
        <v>157</v>
      </c>
      <c r="J5" s="37" t="s">
        <v>160</v>
      </c>
      <c r="K5" s="35" t="s">
        <v>170</v>
      </c>
      <c r="L5" s="35" t="s">
        <v>173</v>
      </c>
      <c r="M5" s="44" t="s">
        <v>176</v>
      </c>
    </row>
    <row r="6" ht="82.5" customHeight="1">
      <c r="A6" s="11" t="s">
        <v>178</v>
      </c>
      <c r="B6" s="14" t="s">
        <v>179</v>
      </c>
      <c r="C6" s="17" t="s">
        <v>182</v>
      </c>
      <c r="D6" s="19" t="s">
        <v>184</v>
      </c>
      <c r="E6" s="17" t="s">
        <v>185</v>
      </c>
      <c r="F6" s="17" t="s">
        <v>188</v>
      </c>
      <c r="G6" s="17" t="s">
        <v>190</v>
      </c>
      <c r="H6" s="17" t="s">
        <v>155</v>
      </c>
      <c r="I6" s="17" t="s">
        <v>193</v>
      </c>
      <c r="J6" s="19" t="s">
        <v>196</v>
      </c>
      <c r="K6" s="17" t="s">
        <v>170</v>
      </c>
      <c r="L6" s="17" t="s">
        <v>197</v>
      </c>
      <c r="M6" s="28" t="s">
        <v>200</v>
      </c>
    </row>
    <row r="7" ht="82.5" customHeight="1">
      <c r="A7" s="31" t="s">
        <v>201</v>
      </c>
      <c r="B7" s="33" t="s">
        <v>204</v>
      </c>
      <c r="C7" s="35" t="s">
        <v>205</v>
      </c>
      <c r="D7" s="37" t="s">
        <v>208</v>
      </c>
      <c r="E7" s="35" t="s">
        <v>210</v>
      </c>
      <c r="F7" s="35" t="s">
        <v>212</v>
      </c>
      <c r="G7" s="35" t="s">
        <v>214</v>
      </c>
      <c r="H7" s="35" t="s">
        <v>217</v>
      </c>
      <c r="I7" s="35" t="s">
        <v>155</v>
      </c>
      <c r="J7" s="37" t="s">
        <v>220</v>
      </c>
      <c r="K7" s="35" t="s">
        <v>50</v>
      </c>
      <c r="L7" s="35" t="s">
        <v>225</v>
      </c>
      <c r="M7" s="44" t="s">
        <v>227</v>
      </c>
    </row>
    <row r="8" ht="82.5" customHeight="1">
      <c r="A8" s="11" t="s">
        <v>232</v>
      </c>
      <c r="B8" s="14" t="s">
        <v>234</v>
      </c>
      <c r="C8" s="17" t="s">
        <v>238</v>
      </c>
      <c r="D8" s="19" t="s">
        <v>241</v>
      </c>
      <c r="E8" s="17" t="s">
        <v>243</v>
      </c>
      <c r="F8" s="17" t="s">
        <v>245</v>
      </c>
      <c r="G8" s="17" t="s">
        <v>248</v>
      </c>
      <c r="H8" s="17" t="s">
        <v>249</v>
      </c>
      <c r="I8" s="17" t="s">
        <v>155</v>
      </c>
      <c r="J8" s="19" t="s">
        <v>252</v>
      </c>
      <c r="K8" s="17" t="s">
        <v>255</v>
      </c>
      <c r="L8" s="17" t="s">
        <v>258</v>
      </c>
      <c r="M8" s="28" t="s">
        <v>260</v>
      </c>
    </row>
    <row r="9" ht="82.5" customHeight="1">
      <c r="A9" s="31" t="s">
        <v>262</v>
      </c>
      <c r="B9" s="33" t="s">
        <v>263</v>
      </c>
      <c r="C9" s="35" t="s">
        <v>266</v>
      </c>
      <c r="D9" s="37" t="s">
        <v>267</v>
      </c>
      <c r="E9" s="35" t="s">
        <v>268</v>
      </c>
      <c r="F9" s="35" t="s">
        <v>271</v>
      </c>
      <c r="G9" s="35" t="s">
        <v>155</v>
      </c>
      <c r="H9" s="35" t="s">
        <v>155</v>
      </c>
      <c r="I9" s="35" t="s">
        <v>155</v>
      </c>
      <c r="J9" s="37" t="s">
        <v>275</v>
      </c>
      <c r="K9" s="35" t="s">
        <v>50</v>
      </c>
      <c r="L9" s="35" t="s">
        <v>280</v>
      </c>
      <c r="M9" s="44" t="s">
        <v>283</v>
      </c>
    </row>
    <row r="10" ht="82.5" customHeight="1">
      <c r="A10" s="11" t="s">
        <v>286</v>
      </c>
      <c r="B10" s="14" t="s">
        <v>288</v>
      </c>
      <c r="C10" s="17" t="s">
        <v>290</v>
      </c>
      <c r="D10" s="19" t="s">
        <v>293</v>
      </c>
      <c r="E10" s="17" t="s">
        <v>296</v>
      </c>
      <c r="F10" s="17" t="s">
        <v>297</v>
      </c>
      <c r="G10" s="17" t="s">
        <v>301</v>
      </c>
      <c r="H10" s="17" t="s">
        <v>155</v>
      </c>
      <c r="I10" s="17" t="s">
        <v>305</v>
      </c>
      <c r="J10" s="19" t="s">
        <v>308</v>
      </c>
      <c r="K10" s="17" t="s">
        <v>310</v>
      </c>
      <c r="L10" s="17" t="s">
        <v>311</v>
      </c>
      <c r="M10" s="28" t="s">
        <v>313</v>
      </c>
    </row>
    <row r="11" ht="82.5" customHeight="1">
      <c r="A11" s="31" t="s">
        <v>316</v>
      </c>
      <c r="B11" s="33" t="s">
        <v>319</v>
      </c>
      <c r="C11" s="35" t="s">
        <v>322</v>
      </c>
      <c r="D11" s="37" t="s">
        <v>325</v>
      </c>
      <c r="E11" s="35" t="s">
        <v>328</v>
      </c>
      <c r="F11" s="35" t="s">
        <v>330</v>
      </c>
      <c r="G11" s="35" t="s">
        <v>331</v>
      </c>
      <c r="H11" s="35" t="s">
        <v>335</v>
      </c>
      <c r="I11" s="35" t="s">
        <v>337</v>
      </c>
      <c r="J11" s="37" t="s">
        <v>340</v>
      </c>
      <c r="K11" s="35" t="s">
        <v>103</v>
      </c>
      <c r="L11" s="35" t="s">
        <v>197</v>
      </c>
      <c r="M11" s="44" t="s">
        <v>348</v>
      </c>
    </row>
    <row r="12" ht="82.5" customHeight="1">
      <c r="A12" s="11" t="s">
        <v>352</v>
      </c>
      <c r="B12" s="14" t="s">
        <v>354</v>
      </c>
      <c r="C12" s="17" t="s">
        <v>357</v>
      </c>
      <c r="D12" s="19" t="s">
        <v>359</v>
      </c>
      <c r="E12" s="17" t="s">
        <v>361</v>
      </c>
      <c r="F12" s="17" t="s">
        <v>362</v>
      </c>
      <c r="G12" s="17" t="s">
        <v>364</v>
      </c>
      <c r="H12" s="17" t="s">
        <v>155</v>
      </c>
      <c r="I12" s="17" t="s">
        <v>369</v>
      </c>
      <c r="J12" s="19" t="s">
        <v>372</v>
      </c>
      <c r="K12" s="17" t="s">
        <v>310</v>
      </c>
      <c r="L12" s="17" t="s">
        <v>374</v>
      </c>
      <c r="M12" s="28" t="s">
        <v>377</v>
      </c>
    </row>
    <row r="13" ht="82.5" customHeight="1">
      <c r="A13" s="31" t="s">
        <v>380</v>
      </c>
      <c r="B13" s="33" t="s">
        <v>383</v>
      </c>
      <c r="C13" s="35" t="s">
        <v>386</v>
      </c>
      <c r="D13" s="37" t="s">
        <v>388</v>
      </c>
      <c r="E13" s="35" t="s">
        <v>389</v>
      </c>
      <c r="F13" s="35" t="s">
        <v>391</v>
      </c>
      <c r="G13" s="35" t="s">
        <v>394</v>
      </c>
      <c r="H13" s="35" t="s">
        <v>396</v>
      </c>
      <c r="I13" s="35" t="s">
        <v>399</v>
      </c>
      <c r="J13" s="37" t="s">
        <v>220</v>
      </c>
      <c r="K13" s="35" t="s">
        <v>403</v>
      </c>
      <c r="L13" s="35" t="s">
        <v>405</v>
      </c>
      <c r="M13" s="44" t="s">
        <v>410</v>
      </c>
    </row>
    <row r="14" ht="82.5" customHeight="1">
      <c r="A14" s="11" t="s">
        <v>413</v>
      </c>
      <c r="B14" s="14" t="s">
        <v>416</v>
      </c>
      <c r="C14" s="17" t="s">
        <v>418</v>
      </c>
      <c r="D14" s="19" t="s">
        <v>420</v>
      </c>
      <c r="E14" s="17" t="s">
        <v>422</v>
      </c>
      <c r="F14" s="17" t="s">
        <v>424</v>
      </c>
      <c r="G14" s="17" t="s">
        <v>432</v>
      </c>
      <c r="H14" s="17" t="s">
        <v>437</v>
      </c>
      <c r="I14" s="17" t="s">
        <v>439</v>
      </c>
      <c r="J14" s="19" t="s">
        <v>449</v>
      </c>
      <c r="K14" s="17" t="s">
        <v>452</v>
      </c>
      <c r="L14" s="17" t="s">
        <v>457</v>
      </c>
      <c r="M14" s="28" t="s">
        <v>459</v>
      </c>
    </row>
    <row r="15" ht="82.5" customHeight="1">
      <c r="A15" s="31" t="s">
        <v>461</v>
      </c>
      <c r="B15" s="33" t="s">
        <v>464</v>
      </c>
      <c r="C15" s="35" t="s">
        <v>465</v>
      </c>
      <c r="D15" s="37" t="s">
        <v>466</v>
      </c>
      <c r="E15" s="35" t="s">
        <v>468</v>
      </c>
      <c r="F15" s="35" t="s">
        <v>473</v>
      </c>
      <c r="G15" s="35" t="s">
        <v>477</v>
      </c>
      <c r="H15" s="35" t="s">
        <v>479</v>
      </c>
      <c r="I15" s="35" t="s">
        <v>483</v>
      </c>
      <c r="J15" s="37" t="s">
        <v>487</v>
      </c>
      <c r="K15" s="35" t="s">
        <v>488</v>
      </c>
      <c r="L15" s="35" t="s">
        <v>492</v>
      </c>
      <c r="M15" s="44" t="s">
        <v>495</v>
      </c>
    </row>
    <row r="16" ht="82.5" customHeight="1">
      <c r="A16" s="11" t="s">
        <v>497</v>
      </c>
      <c r="B16" s="14" t="s">
        <v>502</v>
      </c>
      <c r="C16" s="17" t="s">
        <v>505</v>
      </c>
      <c r="D16" s="19" t="s">
        <v>506</v>
      </c>
      <c r="E16" s="17" t="s">
        <v>508</v>
      </c>
      <c r="F16" s="17" t="s">
        <v>511</v>
      </c>
      <c r="G16" s="17" t="s">
        <v>512</v>
      </c>
      <c r="H16" s="17" t="s">
        <v>155</v>
      </c>
      <c r="I16" s="17" t="s">
        <v>155</v>
      </c>
      <c r="J16" s="19" t="s">
        <v>515</v>
      </c>
      <c r="K16" s="17" t="s">
        <v>516</v>
      </c>
      <c r="L16" s="17" t="s">
        <v>518</v>
      </c>
      <c r="M16" s="28" t="s">
        <v>520</v>
      </c>
    </row>
    <row r="17" ht="82.5" customHeight="1">
      <c r="A17" s="31" t="s">
        <v>522</v>
      </c>
      <c r="B17" s="33" t="s">
        <v>523</v>
      </c>
      <c r="C17" s="35" t="s">
        <v>524</v>
      </c>
      <c r="D17" s="37" t="s">
        <v>525</v>
      </c>
      <c r="E17" s="35" t="s">
        <v>526</v>
      </c>
      <c r="F17" s="35" t="s">
        <v>527</v>
      </c>
      <c r="G17" s="35" t="s">
        <v>530</v>
      </c>
      <c r="H17" s="35" t="s">
        <v>532</v>
      </c>
      <c r="I17" s="35" t="s">
        <v>533</v>
      </c>
      <c r="J17" s="37" t="s">
        <v>536</v>
      </c>
      <c r="K17" s="35" t="s">
        <v>538</v>
      </c>
      <c r="L17" s="35" t="s">
        <v>540</v>
      </c>
      <c r="M17" s="44" t="s">
        <v>542</v>
      </c>
    </row>
    <row r="18" ht="82.5" customHeight="1">
      <c r="A18" s="11" t="s">
        <v>554</v>
      </c>
      <c r="B18" s="14" t="s">
        <v>555</v>
      </c>
      <c r="C18" s="17" t="s">
        <v>558</v>
      </c>
      <c r="D18" s="19" t="s">
        <v>559</v>
      </c>
      <c r="E18" s="17" t="s">
        <v>155</v>
      </c>
      <c r="F18" s="17" t="s">
        <v>561</v>
      </c>
      <c r="G18" s="17" t="s">
        <v>563</v>
      </c>
      <c r="H18" s="17" t="s">
        <v>564</v>
      </c>
      <c r="I18" s="17" t="s">
        <v>565</v>
      </c>
      <c r="J18" s="19" t="s">
        <v>566</v>
      </c>
      <c r="K18" s="17" t="s">
        <v>310</v>
      </c>
      <c r="L18" s="17" t="s">
        <v>567</v>
      </c>
      <c r="M18" s="28" t="s">
        <v>568</v>
      </c>
    </row>
    <row r="19" ht="82.5" customHeight="1">
      <c r="A19" s="31" t="s">
        <v>569</v>
      </c>
      <c r="B19" s="33" t="s">
        <v>570</v>
      </c>
      <c r="C19" s="35" t="s">
        <v>572</v>
      </c>
      <c r="D19" s="37" t="s">
        <v>574</v>
      </c>
      <c r="E19" s="35" t="s">
        <v>575</v>
      </c>
      <c r="F19" s="35" t="s">
        <v>576</v>
      </c>
      <c r="G19" s="35" t="s">
        <v>579</v>
      </c>
      <c r="H19" s="35" t="s">
        <v>582</v>
      </c>
      <c r="I19" s="35" t="s">
        <v>584</v>
      </c>
      <c r="J19" s="37" t="s">
        <v>589</v>
      </c>
      <c r="K19" s="35" t="s">
        <v>592</v>
      </c>
      <c r="L19" s="35" t="s">
        <v>594</v>
      </c>
      <c r="M19" s="44" t="s">
        <v>598</v>
      </c>
    </row>
    <row r="20" ht="82.5" customHeight="1">
      <c r="A20" s="11" t="s">
        <v>600</v>
      </c>
      <c r="B20" s="14" t="s">
        <v>601</v>
      </c>
      <c r="C20" s="17" t="s">
        <v>604</v>
      </c>
      <c r="D20" s="19" t="s">
        <v>606</v>
      </c>
      <c r="E20" s="17" t="s">
        <v>608</v>
      </c>
      <c r="F20" s="17" t="s">
        <v>610</v>
      </c>
      <c r="G20" s="17" t="s">
        <v>613</v>
      </c>
      <c r="H20" s="17" t="s">
        <v>615</v>
      </c>
      <c r="I20" s="17" t="s">
        <v>155</v>
      </c>
      <c r="J20" s="19" t="s">
        <v>515</v>
      </c>
      <c r="K20" s="17" t="s">
        <v>50</v>
      </c>
      <c r="L20" s="17" t="s">
        <v>618</v>
      </c>
      <c r="M20" s="28" t="s">
        <v>620</v>
      </c>
    </row>
    <row r="21" ht="82.5" customHeight="1">
      <c r="A21" s="31" t="s">
        <v>621</v>
      </c>
      <c r="B21" s="33" t="s">
        <v>623</v>
      </c>
      <c r="C21" s="35" t="s">
        <v>625</v>
      </c>
      <c r="D21" s="37" t="s">
        <v>628</v>
      </c>
      <c r="E21" s="35" t="s">
        <v>630</v>
      </c>
      <c r="F21" s="35" t="s">
        <v>631</v>
      </c>
      <c r="G21" s="35" t="s">
        <v>635</v>
      </c>
      <c r="H21" s="35" t="s">
        <v>155</v>
      </c>
      <c r="I21" s="35" t="s">
        <v>155</v>
      </c>
      <c r="J21" s="37" t="s">
        <v>639</v>
      </c>
      <c r="K21" s="35" t="s">
        <v>255</v>
      </c>
      <c r="L21" s="35" t="s">
        <v>641</v>
      </c>
      <c r="M21" s="44" t="s">
        <v>642</v>
      </c>
    </row>
    <row r="22" ht="82.5" customHeight="1">
      <c r="A22" s="11" t="s">
        <v>646</v>
      </c>
      <c r="B22" s="14" t="s">
        <v>649</v>
      </c>
      <c r="C22" s="17" t="s">
        <v>650</v>
      </c>
      <c r="D22" s="19" t="s">
        <v>654</v>
      </c>
      <c r="E22" s="17" t="s">
        <v>656</v>
      </c>
      <c r="F22" s="17" t="s">
        <v>658</v>
      </c>
      <c r="G22" s="17" t="s">
        <v>661</v>
      </c>
      <c r="H22" s="17" t="s">
        <v>155</v>
      </c>
      <c r="I22" s="17" t="s">
        <v>155</v>
      </c>
      <c r="J22" s="19" t="s">
        <v>664</v>
      </c>
      <c r="K22" s="17" t="s">
        <v>255</v>
      </c>
      <c r="L22" s="17" t="s">
        <v>665</v>
      </c>
      <c r="M22" s="28" t="s">
        <v>668</v>
      </c>
    </row>
    <row r="23" ht="82.5" customHeight="1">
      <c r="A23" s="31" t="s">
        <v>670</v>
      </c>
      <c r="B23" s="33" t="s">
        <v>672</v>
      </c>
      <c r="C23" s="35" t="s">
        <v>674</v>
      </c>
      <c r="D23" s="37" t="s">
        <v>676</v>
      </c>
      <c r="E23" s="35" t="s">
        <v>677</v>
      </c>
      <c r="F23" s="35" t="s">
        <v>679</v>
      </c>
      <c r="G23" s="35" t="s">
        <v>681</v>
      </c>
      <c r="H23" s="35" t="s">
        <v>155</v>
      </c>
      <c r="I23" s="35" t="s">
        <v>155</v>
      </c>
      <c r="J23" s="37" t="s">
        <v>683</v>
      </c>
      <c r="K23" s="35" t="s">
        <v>255</v>
      </c>
      <c r="L23" s="35" t="s">
        <v>155</v>
      </c>
      <c r="M23" s="44" t="s">
        <v>686</v>
      </c>
    </row>
    <row r="24" ht="82.5" customHeight="1">
      <c r="A24" s="11" t="s">
        <v>688</v>
      </c>
      <c r="B24" s="14" t="s">
        <v>690</v>
      </c>
      <c r="C24" s="17" t="s">
        <v>692</v>
      </c>
      <c r="D24" s="19" t="s">
        <v>694</v>
      </c>
      <c r="E24" s="17" t="s">
        <v>695</v>
      </c>
      <c r="F24" s="17" t="s">
        <v>697</v>
      </c>
      <c r="G24" s="17" t="s">
        <v>699</v>
      </c>
      <c r="H24" s="17" t="s">
        <v>700</v>
      </c>
      <c r="I24" s="17" t="s">
        <v>155</v>
      </c>
      <c r="J24" s="19" t="s">
        <v>702</v>
      </c>
      <c r="K24" s="17" t="s">
        <v>703</v>
      </c>
      <c r="L24" s="17" t="s">
        <v>704</v>
      </c>
      <c r="M24" s="28" t="s">
        <v>707</v>
      </c>
    </row>
    <row r="25" ht="82.5" customHeight="1">
      <c r="A25" s="31" t="s">
        <v>708</v>
      </c>
      <c r="B25" s="33" t="s">
        <v>709</v>
      </c>
      <c r="C25" s="35" t="s">
        <v>710</v>
      </c>
      <c r="D25" s="37" t="s">
        <v>711</v>
      </c>
      <c r="E25" s="35" t="s">
        <v>713</v>
      </c>
      <c r="F25" s="35" t="s">
        <v>717</v>
      </c>
      <c r="G25" s="35" t="s">
        <v>720</v>
      </c>
      <c r="H25" s="35" t="s">
        <v>723</v>
      </c>
      <c r="I25" s="35" t="s">
        <v>155</v>
      </c>
      <c r="J25" s="37" t="s">
        <v>726</v>
      </c>
      <c r="K25" s="35" t="s">
        <v>727</v>
      </c>
      <c r="L25" s="35" t="s">
        <v>729</v>
      </c>
      <c r="M25" s="44" t="s">
        <v>730</v>
      </c>
    </row>
    <row r="26" ht="82.5" customHeight="1">
      <c r="A26" s="11" t="s">
        <v>733</v>
      </c>
      <c r="B26" s="14" t="s">
        <v>735</v>
      </c>
      <c r="C26" s="17" t="s">
        <v>737</v>
      </c>
      <c r="D26" s="19" t="s">
        <v>739</v>
      </c>
      <c r="E26" s="17" t="s">
        <v>741</v>
      </c>
      <c r="F26" s="17" t="s">
        <v>743</v>
      </c>
      <c r="G26" s="17" t="s">
        <v>744</v>
      </c>
      <c r="H26" s="17" t="s">
        <v>155</v>
      </c>
      <c r="I26" s="17" t="s">
        <v>155</v>
      </c>
      <c r="J26" s="19" t="s">
        <v>746</v>
      </c>
      <c r="K26" s="17" t="s">
        <v>747</v>
      </c>
      <c r="L26" s="17" t="s">
        <v>704</v>
      </c>
      <c r="M26" s="28" t="s">
        <v>750</v>
      </c>
    </row>
    <row r="27" ht="82.5" customHeight="1">
      <c r="A27" s="31" t="s">
        <v>753</v>
      </c>
      <c r="B27" s="33" t="s">
        <v>755</v>
      </c>
      <c r="C27" s="35" t="s">
        <v>757</v>
      </c>
      <c r="D27" s="37" t="s">
        <v>760</v>
      </c>
      <c r="E27" s="35" t="s">
        <v>761</v>
      </c>
      <c r="F27" s="35" t="s">
        <v>762</v>
      </c>
      <c r="G27" s="35" t="s">
        <v>765</v>
      </c>
      <c r="H27" s="35" t="s">
        <v>767</v>
      </c>
      <c r="I27" s="35" t="s">
        <v>768</v>
      </c>
      <c r="J27" s="37" t="s">
        <v>769</v>
      </c>
      <c r="K27" s="35" t="s">
        <v>770</v>
      </c>
      <c r="L27" s="35" t="s">
        <v>772</v>
      </c>
      <c r="M27" s="44" t="s">
        <v>774</v>
      </c>
    </row>
    <row r="28" ht="82.5" customHeight="1">
      <c r="A28" s="11" t="s">
        <v>775</v>
      </c>
      <c r="B28" s="14" t="s">
        <v>776</v>
      </c>
      <c r="C28" s="17" t="s">
        <v>777</v>
      </c>
      <c r="D28" s="19" t="s">
        <v>779</v>
      </c>
      <c r="E28" s="17" t="s">
        <v>780</v>
      </c>
      <c r="F28" s="17" t="s">
        <v>527</v>
      </c>
      <c r="G28" s="17" t="s">
        <v>782</v>
      </c>
      <c r="H28" s="17" t="s">
        <v>783</v>
      </c>
      <c r="I28" s="17" t="s">
        <v>784</v>
      </c>
      <c r="J28" s="19" t="s">
        <v>785</v>
      </c>
      <c r="K28" s="17" t="s">
        <v>786</v>
      </c>
      <c r="L28" s="17" t="s">
        <v>787</v>
      </c>
      <c r="M28" s="28" t="s">
        <v>788</v>
      </c>
    </row>
    <row r="29" ht="82.5" customHeight="1">
      <c r="A29" s="31" t="s">
        <v>789</v>
      </c>
      <c r="B29" s="33" t="s">
        <v>790</v>
      </c>
      <c r="C29" s="35" t="s">
        <v>791</v>
      </c>
      <c r="D29" s="37" t="s">
        <v>792</v>
      </c>
      <c r="E29" s="35" t="s">
        <v>794</v>
      </c>
      <c r="F29" s="35" t="s">
        <v>795</v>
      </c>
      <c r="G29" s="35" t="s">
        <v>797</v>
      </c>
      <c r="H29" s="35" t="s">
        <v>799</v>
      </c>
      <c r="I29" s="35" t="s">
        <v>801</v>
      </c>
      <c r="J29" s="37" t="s">
        <v>803</v>
      </c>
      <c r="K29" s="35" t="s">
        <v>805</v>
      </c>
      <c r="L29" s="35" t="s">
        <v>807</v>
      </c>
      <c r="M29" s="44" t="s">
        <v>811</v>
      </c>
    </row>
    <row r="30" ht="82.5" customHeight="1">
      <c r="A30" s="11" t="s">
        <v>815</v>
      </c>
      <c r="B30" s="14" t="s">
        <v>816</v>
      </c>
      <c r="C30" s="17" t="s">
        <v>817</v>
      </c>
      <c r="D30" s="19" t="s">
        <v>819</v>
      </c>
      <c r="E30" s="17" t="s">
        <v>820</v>
      </c>
      <c r="F30" s="17" t="s">
        <v>821</v>
      </c>
      <c r="G30" s="17" t="s">
        <v>822</v>
      </c>
      <c r="H30" s="17" t="s">
        <v>823</v>
      </c>
      <c r="I30" s="17" t="s">
        <v>825</v>
      </c>
      <c r="J30" s="19" t="s">
        <v>827</v>
      </c>
      <c r="K30" s="17" t="s">
        <v>829</v>
      </c>
      <c r="L30" s="17" t="s">
        <v>787</v>
      </c>
      <c r="M30" s="28" t="s">
        <v>831</v>
      </c>
    </row>
    <row r="31" ht="82.5" customHeight="1">
      <c r="A31" s="31" t="s">
        <v>834</v>
      </c>
      <c r="B31" s="33" t="s">
        <v>836</v>
      </c>
      <c r="C31" s="35" t="s">
        <v>837</v>
      </c>
      <c r="D31" s="37" t="s">
        <v>838</v>
      </c>
      <c r="E31" s="35" t="s">
        <v>841</v>
      </c>
      <c r="F31" s="35" t="s">
        <v>842</v>
      </c>
      <c r="G31" s="35" t="s">
        <v>844</v>
      </c>
      <c r="H31" s="35" t="s">
        <v>155</v>
      </c>
      <c r="I31" s="35" t="s">
        <v>845</v>
      </c>
      <c r="J31" s="37" t="s">
        <v>847</v>
      </c>
      <c r="K31" s="35" t="s">
        <v>310</v>
      </c>
      <c r="L31" s="35" t="s">
        <v>849</v>
      </c>
      <c r="M31" s="44" t="s">
        <v>851</v>
      </c>
    </row>
    <row r="32" ht="82.5" customHeight="1">
      <c r="A32" s="11" t="s">
        <v>852</v>
      </c>
      <c r="B32" s="14" t="s">
        <v>854</v>
      </c>
      <c r="C32" s="17" t="s">
        <v>857</v>
      </c>
      <c r="D32" s="19" t="s">
        <v>858</v>
      </c>
      <c r="E32" s="17" t="s">
        <v>155</v>
      </c>
      <c r="F32" s="17" t="s">
        <v>842</v>
      </c>
      <c r="G32" s="17" t="s">
        <v>861</v>
      </c>
      <c r="H32" s="17" t="s">
        <v>862</v>
      </c>
      <c r="I32" s="17" t="s">
        <v>863</v>
      </c>
      <c r="J32" s="19" t="s">
        <v>865</v>
      </c>
      <c r="K32" s="17" t="s">
        <v>310</v>
      </c>
      <c r="L32" s="17" t="s">
        <v>155</v>
      </c>
      <c r="M32" s="28" t="s">
        <v>867</v>
      </c>
    </row>
    <row r="33" ht="82.5" customHeight="1">
      <c r="A33" s="31" t="s">
        <v>868</v>
      </c>
      <c r="B33" s="33" t="s">
        <v>869</v>
      </c>
      <c r="C33" s="35" t="s">
        <v>871</v>
      </c>
      <c r="D33" s="37" t="s">
        <v>872</v>
      </c>
      <c r="E33" s="35" t="s">
        <v>874</v>
      </c>
      <c r="F33" s="35" t="s">
        <v>875</v>
      </c>
      <c r="G33" s="35" t="s">
        <v>877</v>
      </c>
      <c r="H33" s="35" t="s">
        <v>155</v>
      </c>
      <c r="I33" s="35" t="s">
        <v>879</v>
      </c>
      <c r="J33" s="37" t="s">
        <v>882</v>
      </c>
      <c r="K33" s="35" t="s">
        <v>310</v>
      </c>
      <c r="L33" s="35" t="s">
        <v>884</v>
      </c>
      <c r="M33" s="44" t="s">
        <v>886</v>
      </c>
    </row>
    <row r="34" ht="82.5" customHeight="1">
      <c r="A34" s="11" t="s">
        <v>887</v>
      </c>
      <c r="B34" s="14" t="s">
        <v>888</v>
      </c>
      <c r="C34" s="17" t="s">
        <v>889</v>
      </c>
      <c r="D34" s="19" t="s">
        <v>890</v>
      </c>
      <c r="E34" s="17" t="s">
        <v>891</v>
      </c>
      <c r="F34" s="17" t="s">
        <v>893</v>
      </c>
      <c r="G34" s="17" t="s">
        <v>894</v>
      </c>
      <c r="H34" s="17" t="s">
        <v>896</v>
      </c>
      <c r="I34" s="17" t="s">
        <v>155</v>
      </c>
      <c r="J34" s="19" t="s">
        <v>515</v>
      </c>
      <c r="K34" s="17" t="s">
        <v>898</v>
      </c>
      <c r="L34" s="17" t="s">
        <v>704</v>
      </c>
      <c r="M34" s="28" t="s">
        <v>901</v>
      </c>
    </row>
    <row r="35" ht="82.5" customHeight="1">
      <c r="A35" s="31" t="s">
        <v>903</v>
      </c>
      <c r="B35" s="33" t="s">
        <v>905</v>
      </c>
      <c r="C35" s="35" t="s">
        <v>907</v>
      </c>
      <c r="D35" s="37" t="s">
        <v>910</v>
      </c>
      <c r="E35" s="35" t="s">
        <v>912</v>
      </c>
      <c r="F35" s="35" t="s">
        <v>913</v>
      </c>
      <c r="G35" s="35" t="s">
        <v>917</v>
      </c>
      <c r="H35" s="35" t="s">
        <v>919</v>
      </c>
      <c r="I35" s="35" t="s">
        <v>922</v>
      </c>
      <c r="J35" s="37" t="s">
        <v>929</v>
      </c>
      <c r="K35" s="35" t="s">
        <v>932</v>
      </c>
      <c r="L35" s="35" t="s">
        <v>933</v>
      </c>
      <c r="M35" s="44" t="s">
        <v>934</v>
      </c>
    </row>
    <row r="36" ht="82.5" customHeight="1">
      <c r="A36" s="11" t="s">
        <v>937</v>
      </c>
      <c r="B36" s="14" t="s">
        <v>938</v>
      </c>
      <c r="C36" s="17" t="s">
        <v>941</v>
      </c>
      <c r="D36" s="19" t="s">
        <v>943</v>
      </c>
      <c r="E36" s="17" t="s">
        <v>946</v>
      </c>
      <c r="F36" s="17" t="s">
        <v>947</v>
      </c>
      <c r="G36" s="17" t="s">
        <v>949</v>
      </c>
      <c r="H36" s="17" t="s">
        <v>950</v>
      </c>
      <c r="I36" s="17" t="s">
        <v>952</v>
      </c>
      <c r="J36" s="19" t="s">
        <v>954</v>
      </c>
      <c r="K36" s="17" t="s">
        <v>955</v>
      </c>
      <c r="L36" s="17" t="s">
        <v>957</v>
      </c>
      <c r="M36" s="28" t="s">
        <v>960</v>
      </c>
    </row>
    <row r="37" ht="82.5" customHeight="1">
      <c r="A37" s="31" t="s">
        <v>963</v>
      </c>
      <c r="B37" s="33" t="s">
        <v>964</v>
      </c>
      <c r="C37" s="35" t="s">
        <v>966</v>
      </c>
      <c r="D37" s="37" t="s">
        <v>967</v>
      </c>
      <c r="E37" s="35" t="s">
        <v>970</v>
      </c>
      <c r="F37" s="35" t="s">
        <v>875</v>
      </c>
      <c r="G37" s="35" t="s">
        <v>974</v>
      </c>
      <c r="H37" s="35" t="s">
        <v>155</v>
      </c>
      <c r="I37" s="35" t="s">
        <v>977</v>
      </c>
      <c r="J37" s="37" t="s">
        <v>980</v>
      </c>
      <c r="K37" s="35" t="s">
        <v>310</v>
      </c>
      <c r="L37" s="35" t="s">
        <v>983</v>
      </c>
      <c r="M37" s="44" t="s">
        <v>985</v>
      </c>
    </row>
    <row r="38" ht="82.5" customHeight="1">
      <c r="A38" s="11" t="s">
        <v>988</v>
      </c>
      <c r="B38" s="14" t="s">
        <v>989</v>
      </c>
      <c r="C38" s="17" t="s">
        <v>991</v>
      </c>
      <c r="D38" s="19" t="s">
        <v>993</v>
      </c>
      <c r="E38" s="17" t="s">
        <v>994</v>
      </c>
      <c r="F38" s="17" t="s">
        <v>995</v>
      </c>
      <c r="G38" s="17" t="s">
        <v>999</v>
      </c>
      <c r="H38" s="17" t="s">
        <v>1000</v>
      </c>
      <c r="I38" s="17" t="s">
        <v>1003</v>
      </c>
      <c r="J38" s="19" t="s">
        <v>1006</v>
      </c>
      <c r="K38" s="17" t="s">
        <v>310</v>
      </c>
      <c r="L38" s="17" t="s">
        <v>1010</v>
      </c>
      <c r="M38" s="28" t="s">
        <v>1015</v>
      </c>
    </row>
    <row r="39" ht="82.5" customHeight="1">
      <c r="A39" s="31" t="s">
        <v>1019</v>
      </c>
      <c r="B39" s="33" t="s">
        <v>1020</v>
      </c>
      <c r="C39" s="35" t="s">
        <v>1022</v>
      </c>
      <c r="D39" s="37" t="s">
        <v>1023</v>
      </c>
      <c r="E39" s="35" t="s">
        <v>1025</v>
      </c>
      <c r="F39" s="35" t="s">
        <v>1028</v>
      </c>
      <c r="G39" s="35" t="s">
        <v>1029</v>
      </c>
      <c r="H39" s="35" t="s">
        <v>1032</v>
      </c>
      <c r="I39" s="35" t="s">
        <v>155</v>
      </c>
      <c r="J39" s="37" t="s">
        <v>515</v>
      </c>
      <c r="K39" s="35" t="s">
        <v>1034</v>
      </c>
      <c r="L39" s="35" t="s">
        <v>1036</v>
      </c>
      <c r="M39" s="44" t="s">
        <v>1038</v>
      </c>
    </row>
    <row r="40" ht="82.5" customHeight="1">
      <c r="A40" s="11" t="s">
        <v>1043</v>
      </c>
      <c r="B40" s="14" t="s">
        <v>1045</v>
      </c>
      <c r="C40" s="17" t="s">
        <v>1048</v>
      </c>
      <c r="D40" s="19" t="s">
        <v>1049</v>
      </c>
      <c r="E40" s="17" t="s">
        <v>1051</v>
      </c>
      <c r="F40" s="17" t="s">
        <v>1054</v>
      </c>
      <c r="G40" s="17" t="s">
        <v>1056</v>
      </c>
      <c r="H40" s="17" t="s">
        <v>155</v>
      </c>
      <c r="I40" s="17" t="s">
        <v>155</v>
      </c>
      <c r="J40" s="19" t="s">
        <v>1063</v>
      </c>
      <c r="K40" s="17" t="s">
        <v>255</v>
      </c>
      <c r="L40" s="17" t="s">
        <v>1065</v>
      </c>
      <c r="M40" s="28" t="s">
        <v>1067</v>
      </c>
    </row>
    <row r="41" ht="82.5" customHeight="1">
      <c r="A41" s="31" t="s">
        <v>1070</v>
      </c>
      <c r="B41" s="33" t="s">
        <v>1072</v>
      </c>
      <c r="C41" s="35" t="s">
        <v>1075</v>
      </c>
      <c r="D41" s="37" t="s">
        <v>1077</v>
      </c>
      <c r="E41" s="35" t="s">
        <v>1078</v>
      </c>
      <c r="F41" s="35" t="s">
        <v>1079</v>
      </c>
      <c r="G41" s="35" t="s">
        <v>1081</v>
      </c>
      <c r="H41" s="35" t="s">
        <v>155</v>
      </c>
      <c r="I41" s="35" t="s">
        <v>1084</v>
      </c>
      <c r="J41" s="37" t="s">
        <v>1088</v>
      </c>
      <c r="K41" s="35" t="s">
        <v>255</v>
      </c>
      <c r="L41" s="35" t="s">
        <v>1091</v>
      </c>
      <c r="M41" s="44" t="s">
        <v>1097</v>
      </c>
    </row>
    <row r="42" ht="82.5" customHeight="1">
      <c r="A42" s="11" t="s">
        <v>1101</v>
      </c>
      <c r="B42" s="14" t="s">
        <v>1103</v>
      </c>
      <c r="C42" s="17" t="s">
        <v>1105</v>
      </c>
      <c r="D42" s="19" t="s">
        <v>1110</v>
      </c>
      <c r="E42" s="17" t="s">
        <v>1113</v>
      </c>
      <c r="F42" s="17" t="s">
        <v>1116</v>
      </c>
      <c r="G42" s="17" t="s">
        <v>1118</v>
      </c>
      <c r="H42" s="17" t="s">
        <v>155</v>
      </c>
      <c r="I42" s="17" t="s">
        <v>155</v>
      </c>
      <c r="J42" s="19" t="s">
        <v>1124</v>
      </c>
      <c r="K42" s="17" t="s">
        <v>310</v>
      </c>
      <c r="L42" s="17" t="s">
        <v>1131</v>
      </c>
      <c r="M42" s="28" t="s">
        <v>1133</v>
      </c>
    </row>
    <row r="43" ht="82.5" customHeight="1">
      <c r="A43" s="31" t="s">
        <v>1137</v>
      </c>
      <c r="B43" s="33" t="s">
        <v>1138</v>
      </c>
      <c r="C43" s="35" t="s">
        <v>1141</v>
      </c>
      <c r="D43" s="37" t="s">
        <v>1142</v>
      </c>
      <c r="E43" s="35" t="s">
        <v>155</v>
      </c>
      <c r="F43" s="35" t="s">
        <v>1146</v>
      </c>
      <c r="G43" s="35" t="s">
        <v>1148</v>
      </c>
      <c r="H43" s="35" t="s">
        <v>1149</v>
      </c>
      <c r="I43" s="35" t="s">
        <v>1152</v>
      </c>
      <c r="J43" s="37" t="s">
        <v>1156</v>
      </c>
      <c r="K43" s="35" t="s">
        <v>310</v>
      </c>
      <c r="L43" s="35" t="s">
        <v>1160</v>
      </c>
      <c r="M43" s="44" t="s">
        <v>1165</v>
      </c>
    </row>
    <row r="44" ht="82.5" customHeight="1">
      <c r="A44" s="11" t="s">
        <v>1167</v>
      </c>
      <c r="B44" s="14" t="s">
        <v>1170</v>
      </c>
      <c r="C44" s="17" t="s">
        <v>1172</v>
      </c>
      <c r="D44" s="19" t="s">
        <v>1174</v>
      </c>
      <c r="E44" s="17" t="s">
        <v>155</v>
      </c>
      <c r="F44" s="17" t="s">
        <v>1176</v>
      </c>
      <c r="G44" s="17" t="s">
        <v>1178</v>
      </c>
      <c r="H44" s="17" t="s">
        <v>1180</v>
      </c>
      <c r="I44" s="17" t="s">
        <v>1183</v>
      </c>
      <c r="J44" s="19" t="s">
        <v>1185</v>
      </c>
      <c r="K44" s="17" t="s">
        <v>310</v>
      </c>
      <c r="L44" s="17" t="s">
        <v>1188</v>
      </c>
      <c r="M44" s="28" t="s">
        <v>1194</v>
      </c>
    </row>
    <row r="45" ht="82.5" customHeight="1">
      <c r="A45" s="31" t="s">
        <v>1199</v>
      </c>
      <c r="B45" s="33" t="s">
        <v>1201</v>
      </c>
      <c r="C45" s="35" t="s">
        <v>1202</v>
      </c>
      <c r="D45" s="37" t="s">
        <v>1204</v>
      </c>
      <c r="E45" s="35" t="s">
        <v>1205</v>
      </c>
      <c r="F45" s="35" t="s">
        <v>875</v>
      </c>
      <c r="G45" s="35" t="s">
        <v>1208</v>
      </c>
      <c r="H45" s="35" t="s">
        <v>155</v>
      </c>
      <c r="I45" s="35" t="s">
        <v>1209</v>
      </c>
      <c r="J45" s="37" t="s">
        <v>1212</v>
      </c>
      <c r="K45" s="35" t="s">
        <v>310</v>
      </c>
      <c r="L45" s="35" t="s">
        <v>1214</v>
      </c>
      <c r="M45" s="44" t="s">
        <v>1218</v>
      </c>
    </row>
    <row r="46" ht="82.5" customHeight="1">
      <c r="A46" s="11" t="s">
        <v>1238</v>
      </c>
      <c r="B46" s="14" t="s">
        <v>1240</v>
      </c>
      <c r="C46" s="17" t="s">
        <v>1243</v>
      </c>
      <c r="D46" s="19" t="s">
        <v>1246</v>
      </c>
      <c r="E46" s="17" t="s">
        <v>1249</v>
      </c>
      <c r="F46" s="17" t="s">
        <v>875</v>
      </c>
      <c r="G46" s="17" t="s">
        <v>1254</v>
      </c>
      <c r="H46" s="17" t="s">
        <v>1257</v>
      </c>
      <c r="I46" s="17" t="s">
        <v>1260</v>
      </c>
      <c r="J46" s="19" t="s">
        <v>1264</v>
      </c>
      <c r="K46" s="17" t="s">
        <v>310</v>
      </c>
      <c r="L46" s="17" t="s">
        <v>1266</v>
      </c>
      <c r="M46" s="28" t="s">
        <v>1271</v>
      </c>
    </row>
    <row r="47" ht="82.5" customHeight="1">
      <c r="A47" s="31" t="s">
        <v>1274</v>
      </c>
      <c r="B47" s="33" t="s">
        <v>1276</v>
      </c>
      <c r="C47" s="35" t="s">
        <v>1279</v>
      </c>
      <c r="D47" s="37" t="s">
        <v>1281</v>
      </c>
      <c r="E47" s="35" t="s">
        <v>1285</v>
      </c>
      <c r="F47" s="35" t="s">
        <v>1286</v>
      </c>
      <c r="G47" s="35" t="s">
        <v>1289</v>
      </c>
      <c r="H47" s="35" t="s">
        <v>1291</v>
      </c>
      <c r="I47" s="35" t="s">
        <v>1292</v>
      </c>
      <c r="J47" s="37" t="s">
        <v>1294</v>
      </c>
      <c r="K47" s="35" t="s">
        <v>1295</v>
      </c>
      <c r="L47" s="35" t="s">
        <v>1297</v>
      </c>
      <c r="M47" s="44" t="s">
        <v>1299</v>
      </c>
    </row>
    <row r="48" ht="82.5" customHeight="1">
      <c r="A48" s="11" t="s">
        <v>1305</v>
      </c>
      <c r="B48" s="14" t="s">
        <v>1308</v>
      </c>
      <c r="C48" s="17" t="s">
        <v>1310</v>
      </c>
      <c r="D48" s="19" t="s">
        <v>1312</v>
      </c>
      <c r="E48" s="17" t="s">
        <v>468</v>
      </c>
      <c r="F48" s="17" t="s">
        <v>1317</v>
      </c>
      <c r="G48" s="17" t="s">
        <v>1321</v>
      </c>
      <c r="H48" s="17" t="s">
        <v>1322</v>
      </c>
      <c r="I48" s="17" t="s">
        <v>1323</v>
      </c>
      <c r="J48" s="19" t="s">
        <v>1324</v>
      </c>
      <c r="K48" s="17" t="s">
        <v>1326</v>
      </c>
      <c r="L48" s="17" t="s">
        <v>1329</v>
      </c>
      <c r="M48" s="28" t="s">
        <v>1331</v>
      </c>
    </row>
    <row r="49" ht="82.5" customHeight="1">
      <c r="A49" s="65" t="s">
        <v>1338</v>
      </c>
      <c r="B49" s="66" t="s">
        <v>1348</v>
      </c>
      <c r="C49" s="67" t="s">
        <v>1358</v>
      </c>
      <c r="D49" s="68" t="s">
        <v>858</v>
      </c>
      <c r="E49" s="67" t="s">
        <v>155</v>
      </c>
      <c r="F49" s="67" t="s">
        <v>842</v>
      </c>
      <c r="G49" s="67" t="s">
        <v>1377</v>
      </c>
      <c r="H49" s="67" t="s">
        <v>1378</v>
      </c>
      <c r="I49" s="67" t="s">
        <v>1382</v>
      </c>
      <c r="J49" s="68" t="s">
        <v>1384</v>
      </c>
      <c r="K49" s="67" t="s">
        <v>310</v>
      </c>
      <c r="L49" s="67" t="s">
        <v>1388</v>
      </c>
      <c r="M49" s="69" t="s">
        <v>1392</v>
      </c>
    </row>
    <row r="171">
      <c r="D171" s="75" t="s">
        <v>53</v>
      </c>
      <c r="E171" s="75" t="s">
        <v>1500</v>
      </c>
      <c r="F171" s="75" t="s">
        <v>1502</v>
      </c>
      <c r="G171" s="75" t="s">
        <v>1504</v>
      </c>
      <c r="H171" s="75" t="s">
        <v>1505</v>
      </c>
      <c r="J171" s="75" t="s">
        <v>413</v>
      </c>
      <c r="K171" s="75" t="s">
        <v>1101</v>
      </c>
      <c r="L171" s="75" t="s">
        <v>201</v>
      </c>
      <c r="M171" s="75" t="s">
        <v>232</v>
      </c>
      <c r="N171" s="75" t="s">
        <v>1043</v>
      </c>
      <c r="O171" s="75" t="s">
        <v>1070</v>
      </c>
      <c r="P171" s="75" t="s">
        <v>1515</v>
      </c>
    </row>
    <row r="172">
      <c r="D172" s="75" t="s">
        <v>810</v>
      </c>
      <c r="E172" s="75" t="s">
        <v>1523</v>
      </c>
      <c r="F172" s="75" t="s">
        <v>1524</v>
      </c>
      <c r="H172" s="75" t="s">
        <v>1505</v>
      </c>
      <c r="J172" s="75" t="s">
        <v>708</v>
      </c>
      <c r="K172" s="75" t="s">
        <v>1527</v>
      </c>
      <c r="L172" s="75" t="s">
        <v>497</v>
      </c>
    </row>
    <row r="173">
      <c r="D173" s="75" t="s">
        <v>810</v>
      </c>
      <c r="E173" s="75" t="s">
        <v>1531</v>
      </c>
      <c r="F173" s="75" t="s">
        <v>1533</v>
      </c>
      <c r="H173" s="75" t="s">
        <v>1505</v>
      </c>
      <c r="J173" s="75" t="s">
        <v>708</v>
      </c>
    </row>
    <row r="174">
      <c r="D174" s="75" t="s">
        <v>53</v>
      </c>
      <c r="E174" s="75" t="s">
        <v>1551</v>
      </c>
      <c r="F174" s="75" t="s">
        <v>1553</v>
      </c>
      <c r="G174" s="75" t="s">
        <v>1557</v>
      </c>
      <c r="H174" s="75" t="s">
        <v>1505</v>
      </c>
      <c r="J174" s="75" t="s">
        <v>522</v>
      </c>
      <c r="K174" s="75" t="s">
        <v>1561</v>
      </c>
    </row>
    <row r="175">
      <c r="D175" s="75" t="s">
        <v>53</v>
      </c>
      <c r="E175" s="75" t="s">
        <v>1567</v>
      </c>
      <c r="F175" s="75" t="s">
        <v>1569</v>
      </c>
      <c r="G175" s="75" t="s">
        <v>1572</v>
      </c>
      <c r="K175" s="75" t="s">
        <v>1576</v>
      </c>
      <c r="L175" s="75" t="s">
        <v>1578</v>
      </c>
      <c r="M175" s="75" t="s">
        <v>1580</v>
      </c>
      <c r="N175" s="75" t="s">
        <v>1584</v>
      </c>
      <c r="O175" s="75" t="s">
        <v>1586</v>
      </c>
      <c r="P175" s="75" t="s">
        <v>1589</v>
      </c>
      <c r="Q175" s="75" t="s">
        <v>1595</v>
      </c>
    </row>
    <row r="176">
      <c r="E176" s="75" t="s">
        <v>1596</v>
      </c>
      <c r="F176" s="75" t="s">
        <v>1598</v>
      </c>
      <c r="J176" s="75" t="s">
        <v>1600</v>
      </c>
      <c r="K176" s="75" t="s">
        <v>1604</v>
      </c>
      <c r="L176" s="75" t="s">
        <v>1607</v>
      </c>
      <c r="M176" s="75" t="s">
        <v>1611</v>
      </c>
      <c r="N176" s="75" t="s">
        <v>1614</v>
      </c>
    </row>
    <row r="177">
      <c r="D177" s="75" t="s">
        <v>53</v>
      </c>
      <c r="E177" s="75" t="s">
        <v>1621</v>
      </c>
      <c r="F177" s="75" t="s">
        <v>1622</v>
      </c>
      <c r="G177" s="75" t="s">
        <v>1625</v>
      </c>
      <c r="H177" s="75" t="s">
        <v>1505</v>
      </c>
      <c r="J177" s="75" t="s">
        <v>1627</v>
      </c>
      <c r="K177" s="75" t="s">
        <v>1630</v>
      </c>
      <c r="L177" s="75" t="s">
        <v>1632</v>
      </c>
      <c r="M177" s="75" t="s">
        <v>1635</v>
      </c>
      <c r="N177" s="75" t="s">
        <v>1637</v>
      </c>
    </row>
    <row r="178">
      <c r="D178" s="75" t="s">
        <v>53</v>
      </c>
      <c r="E178" s="75" t="s">
        <v>1640</v>
      </c>
      <c r="F178" s="75" t="s">
        <v>1641</v>
      </c>
      <c r="G178" s="75" t="s">
        <v>1643</v>
      </c>
      <c r="H178" s="75" t="s">
        <v>1505</v>
      </c>
      <c r="J178" s="75" t="s">
        <v>1645</v>
      </c>
      <c r="K178" s="75" t="s">
        <v>1647</v>
      </c>
      <c r="L178" s="75" t="s">
        <v>1561</v>
      </c>
      <c r="M178" s="75" t="s">
        <v>1648</v>
      </c>
      <c r="N178" s="75" t="s">
        <v>1650</v>
      </c>
      <c r="O178" s="75" t="s">
        <v>1635</v>
      </c>
      <c r="P178" s="75" t="s">
        <v>1652</v>
      </c>
    </row>
    <row r="179">
      <c r="E179" s="75" t="s">
        <v>1596</v>
      </c>
      <c r="F179" s="75" t="s">
        <v>1655</v>
      </c>
      <c r="J179" s="75" t="s">
        <v>1656</v>
      </c>
      <c r="K179" s="75" t="s">
        <v>1658</v>
      </c>
      <c r="L179" s="75" t="s">
        <v>1561</v>
      </c>
      <c r="M179" s="75" t="s">
        <v>1648</v>
      </c>
      <c r="N179" s="75" t="s">
        <v>1662</v>
      </c>
    </row>
    <row r="180">
      <c r="D180" s="75" t="s">
        <v>810</v>
      </c>
      <c r="E180" s="75" t="s">
        <v>1666</v>
      </c>
      <c r="F180" s="75" t="s">
        <v>1667</v>
      </c>
      <c r="H180" s="75" t="s">
        <v>1668</v>
      </c>
      <c r="J180" s="75" t="s">
        <v>1669</v>
      </c>
    </row>
    <row r="181">
      <c r="D181" s="75" t="s">
        <v>810</v>
      </c>
      <c r="E181" s="75" t="s">
        <v>1670</v>
      </c>
      <c r="F181" s="75" t="s">
        <v>1671</v>
      </c>
      <c r="H181" s="75" t="s">
        <v>1668</v>
      </c>
      <c r="J181" s="75" t="s">
        <v>1672</v>
      </c>
      <c r="K181" s="75" t="s">
        <v>1527</v>
      </c>
      <c r="L181" s="75" t="s">
        <v>1674</v>
      </c>
    </row>
    <row r="182">
      <c r="D182" s="75" t="s">
        <v>810</v>
      </c>
      <c r="E182" s="75" t="s">
        <v>1677</v>
      </c>
      <c r="F182" s="75" t="s">
        <v>1679</v>
      </c>
      <c r="G182" s="75" t="s">
        <v>1681</v>
      </c>
      <c r="H182" s="75" t="s">
        <v>1682</v>
      </c>
      <c r="K182" s="75" t="s">
        <v>1527</v>
      </c>
    </row>
    <row r="183">
      <c r="D183" s="75" t="s">
        <v>810</v>
      </c>
      <c r="E183" s="75" t="s">
        <v>1687</v>
      </c>
      <c r="F183" s="75" t="s">
        <v>1688</v>
      </c>
      <c r="G183" s="75" t="s">
        <v>1689</v>
      </c>
      <c r="H183" s="75" t="s">
        <v>1682</v>
      </c>
      <c r="J183" s="75" t="s">
        <v>1527</v>
      </c>
    </row>
    <row r="184">
      <c r="D184" s="75" t="s">
        <v>810</v>
      </c>
      <c r="E184" s="75" t="s">
        <v>1690</v>
      </c>
      <c r="F184" s="75" t="s">
        <v>1691</v>
      </c>
      <c r="H184" s="75" t="s">
        <v>1505</v>
      </c>
      <c r="J184" s="75" t="s">
        <v>1693</v>
      </c>
    </row>
    <row r="185">
      <c r="D185" s="75" t="s">
        <v>644</v>
      </c>
      <c r="E185" s="75" t="s">
        <v>1696</v>
      </c>
      <c r="F185" s="75" t="s">
        <v>1697</v>
      </c>
      <c r="G185" s="75" t="s">
        <v>1699</v>
      </c>
      <c r="H185" s="75" t="s">
        <v>1505</v>
      </c>
      <c r="J185" s="75" t="s">
        <v>1700</v>
      </c>
    </row>
    <row r="186">
      <c r="D186" s="75" t="s">
        <v>53</v>
      </c>
      <c r="E186" s="75" t="s">
        <v>1701</v>
      </c>
      <c r="F186" s="75" t="s">
        <v>1702</v>
      </c>
      <c r="G186" s="75" t="s">
        <v>1703</v>
      </c>
      <c r="H186" s="75" t="s">
        <v>1505</v>
      </c>
      <c r="J186" s="75" t="s">
        <v>1704</v>
      </c>
      <c r="K186" s="75" t="s">
        <v>1705</v>
      </c>
      <c r="L186" s="75" t="s">
        <v>1706</v>
      </c>
      <c r="M186" s="75" t="s">
        <v>1708</v>
      </c>
    </row>
    <row r="187">
      <c r="D187" s="75" t="s">
        <v>53</v>
      </c>
      <c r="E187" s="75" t="s">
        <v>1710</v>
      </c>
      <c r="F187" s="75" t="s">
        <v>1711</v>
      </c>
      <c r="G187" s="75" t="s">
        <v>1712</v>
      </c>
      <c r="H187" s="75" t="s">
        <v>1505</v>
      </c>
      <c r="J187" s="75" t="s">
        <v>1713</v>
      </c>
      <c r="K187" s="75" t="s">
        <v>1714</v>
      </c>
      <c r="L187" s="75" t="s">
        <v>1715</v>
      </c>
      <c r="M187" s="75" t="s">
        <v>1717</v>
      </c>
    </row>
    <row r="188">
      <c r="D188" s="75" t="s">
        <v>644</v>
      </c>
      <c r="E188" s="75" t="s">
        <v>1701</v>
      </c>
      <c r="F188" s="75" t="s">
        <v>1720</v>
      </c>
      <c r="G188" s="75" t="s">
        <v>1721</v>
      </c>
      <c r="H188" s="75" t="s">
        <v>1505</v>
      </c>
      <c r="J188" s="75" t="s">
        <v>1704</v>
      </c>
      <c r="K188" s="75" t="s">
        <v>1705</v>
      </c>
      <c r="L188" s="75" t="s">
        <v>1706</v>
      </c>
      <c r="M188" s="75" t="s">
        <v>1708</v>
      </c>
    </row>
    <row r="189">
      <c r="D189" s="75" t="s">
        <v>644</v>
      </c>
      <c r="E189" s="75" t="s">
        <v>1710</v>
      </c>
      <c r="F189" s="75" t="s">
        <v>1723</v>
      </c>
      <c r="G189" s="75" t="s">
        <v>1724</v>
      </c>
      <c r="J189" s="75" t="s">
        <v>1713</v>
      </c>
      <c r="K189" s="75" t="s">
        <v>1714</v>
      </c>
      <c r="L189" s="75" t="s">
        <v>1715</v>
      </c>
      <c r="M189" s="75" t="s">
        <v>1717</v>
      </c>
    </row>
    <row r="191">
      <c r="D191" s="75" t="s">
        <v>53</v>
      </c>
      <c r="E191" s="75" t="s">
        <v>1725</v>
      </c>
      <c r="F191" s="75" t="s">
        <v>1727</v>
      </c>
      <c r="G191" s="75" t="s">
        <v>1728</v>
      </c>
      <c r="H191" s="75" t="s">
        <v>1505</v>
      </c>
      <c r="J191" s="75" t="s">
        <v>1729</v>
      </c>
      <c r="K191" s="75" t="s">
        <v>1730</v>
      </c>
      <c r="L191" s="75" t="s">
        <v>1731</v>
      </c>
      <c r="M191" s="75" t="s">
        <v>1732</v>
      </c>
      <c r="N191" s="75" t="s">
        <v>1734</v>
      </c>
    </row>
    <row r="192">
      <c r="D192" s="75" t="s">
        <v>53</v>
      </c>
      <c r="E192" s="75" t="s">
        <v>1737</v>
      </c>
      <c r="F192" s="75" t="s">
        <v>1739</v>
      </c>
      <c r="G192" s="75" t="s">
        <v>1740</v>
      </c>
      <c r="H192" s="75" t="s">
        <v>1505</v>
      </c>
      <c r="J192" s="75" t="s">
        <v>1700</v>
      </c>
      <c r="K192" s="75" t="s">
        <v>1741</v>
      </c>
      <c r="L192" s="75" t="s">
        <v>1743</v>
      </c>
      <c r="M192" s="75" t="s">
        <v>1744</v>
      </c>
      <c r="N192" s="75" t="s">
        <v>1745</v>
      </c>
      <c r="O192" s="75" t="s">
        <v>1746</v>
      </c>
    </row>
    <row r="193">
      <c r="E193" s="75" t="s">
        <v>1747</v>
      </c>
      <c r="F193" s="75" t="s">
        <v>1749</v>
      </c>
      <c r="J193" s="75" t="s">
        <v>1751</v>
      </c>
      <c r="K193" s="75" t="s">
        <v>1527</v>
      </c>
      <c r="L193" s="75" t="s">
        <v>1753</v>
      </c>
      <c r="M193" s="75" t="s">
        <v>1755</v>
      </c>
      <c r="N193" s="75" t="s">
        <v>1756</v>
      </c>
      <c r="O193" s="75" t="s">
        <v>1757</v>
      </c>
      <c r="P193" s="75" t="s">
        <v>1758</v>
      </c>
      <c r="Q193" s="75" t="s">
        <v>1759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27.63"/>
    <col customWidth="1" min="3" max="3" width="45.13"/>
    <col customWidth="1" min="4" max="4" width="20.13"/>
    <col customWidth="1" min="5" max="5" width="45.13"/>
    <col customWidth="1" min="6" max="6" width="42.63"/>
    <col customWidth="1" min="7" max="7" width="35.13"/>
    <col customWidth="1" min="8" max="8" width="27.63"/>
    <col customWidth="1" min="9" max="9" width="25.13"/>
    <col customWidth="1" min="10" max="10" width="16.38"/>
    <col customWidth="1" min="11" max="11" width="22.63"/>
    <col customWidth="1" min="12" max="12" width="37.63"/>
    <col customWidth="1" min="13" max="13" width="52.63"/>
  </cols>
  <sheetData>
    <row r="1" ht="27.0" customHeight="1">
      <c r="A1" s="1" t="s">
        <v>0</v>
      </c>
      <c r="B1" s="4" t="s">
        <v>2</v>
      </c>
      <c r="C1" s="4" t="s">
        <v>4</v>
      </c>
      <c r="D1" s="4" t="s">
        <v>5</v>
      </c>
      <c r="E1" s="4" t="s">
        <v>6</v>
      </c>
      <c r="F1" s="4" t="s">
        <v>7</v>
      </c>
      <c r="G1" s="4" t="s">
        <v>8</v>
      </c>
      <c r="H1" s="4" t="s">
        <v>9</v>
      </c>
      <c r="I1" s="4" t="s">
        <v>11</v>
      </c>
      <c r="J1" s="4" t="s">
        <v>12</v>
      </c>
      <c r="K1" s="4" t="s">
        <v>13</v>
      </c>
      <c r="L1" s="4" t="s">
        <v>14</v>
      </c>
      <c r="M1" s="8" t="s">
        <v>15</v>
      </c>
      <c r="N1" s="12"/>
      <c r="O1" s="12"/>
      <c r="P1" s="12"/>
      <c r="Q1" s="12"/>
      <c r="R1" s="12"/>
      <c r="S1" s="12"/>
      <c r="T1" s="12"/>
      <c r="U1" s="12"/>
      <c r="V1" s="12"/>
      <c r="W1" s="12"/>
      <c r="X1" s="12"/>
      <c r="Y1" s="12"/>
      <c r="Z1" s="12"/>
    </row>
    <row r="2">
      <c r="A2" s="20" t="s">
        <v>32</v>
      </c>
      <c r="B2" s="23" t="s">
        <v>39</v>
      </c>
      <c r="C2" s="25" t="s">
        <v>52</v>
      </c>
      <c r="D2" s="30" t="s">
        <v>57</v>
      </c>
      <c r="E2" s="25" t="s">
        <v>63</v>
      </c>
      <c r="F2" s="25" t="s">
        <v>66</v>
      </c>
      <c r="G2" s="25" t="s">
        <v>71</v>
      </c>
      <c r="H2" s="25" t="s">
        <v>74</v>
      </c>
      <c r="I2" s="25" t="s">
        <v>76</v>
      </c>
      <c r="J2" s="30" t="s">
        <v>80</v>
      </c>
      <c r="K2" s="25" t="s">
        <v>82</v>
      </c>
      <c r="L2" s="25" t="s">
        <v>84</v>
      </c>
      <c r="M2" s="41" t="s">
        <v>96</v>
      </c>
      <c r="N2" s="12"/>
      <c r="O2" s="12"/>
      <c r="P2" s="12"/>
      <c r="Q2" s="12"/>
      <c r="R2" s="12"/>
      <c r="S2" s="12"/>
      <c r="T2" s="12"/>
      <c r="U2" s="12"/>
      <c r="V2" s="12"/>
      <c r="W2" s="12"/>
      <c r="X2" s="12"/>
      <c r="Y2" s="12"/>
      <c r="Z2" s="12"/>
    </row>
    <row r="3">
      <c r="A3" s="20" t="s">
        <v>114</v>
      </c>
      <c r="B3" s="23" t="s">
        <v>117</v>
      </c>
      <c r="C3" s="25" t="s">
        <v>123</v>
      </c>
      <c r="D3" s="30" t="s">
        <v>57</v>
      </c>
      <c r="E3" s="25" t="s">
        <v>128</v>
      </c>
      <c r="F3" s="25" t="s">
        <v>132</v>
      </c>
      <c r="G3" s="25" t="s">
        <v>135</v>
      </c>
      <c r="H3" s="25" t="s">
        <v>30</v>
      </c>
      <c r="I3" s="25" t="s">
        <v>140</v>
      </c>
      <c r="J3" s="30" t="s">
        <v>143</v>
      </c>
      <c r="K3" s="25" t="s">
        <v>147</v>
      </c>
      <c r="L3" s="25" t="s">
        <v>151</v>
      </c>
      <c r="M3" s="41" t="s">
        <v>158</v>
      </c>
      <c r="N3" s="12"/>
      <c r="O3" s="12"/>
      <c r="P3" s="12"/>
      <c r="Q3" s="12"/>
      <c r="R3" s="12"/>
      <c r="S3" s="12"/>
      <c r="T3" s="12"/>
      <c r="U3" s="12"/>
      <c r="V3" s="12"/>
      <c r="W3" s="12"/>
      <c r="X3" s="12"/>
      <c r="Y3" s="12"/>
      <c r="Z3" s="12"/>
    </row>
    <row r="4">
      <c r="A4" s="20" t="s">
        <v>163</v>
      </c>
      <c r="B4" s="23" t="s">
        <v>166</v>
      </c>
      <c r="C4" s="25" t="s">
        <v>167</v>
      </c>
      <c r="D4" s="30" t="s">
        <v>57</v>
      </c>
      <c r="E4" s="25" t="s">
        <v>172</v>
      </c>
      <c r="F4" s="25" t="s">
        <v>174</v>
      </c>
      <c r="G4" s="25" t="s">
        <v>181</v>
      </c>
      <c r="H4" s="25" t="s">
        <v>187</v>
      </c>
      <c r="I4" s="25" t="s">
        <v>189</v>
      </c>
      <c r="J4" s="30" t="s">
        <v>192</v>
      </c>
      <c r="K4" s="25" t="s">
        <v>147</v>
      </c>
      <c r="L4" s="25" t="s">
        <v>199</v>
      </c>
      <c r="M4" s="41" t="s">
        <v>202</v>
      </c>
      <c r="N4" s="12"/>
      <c r="O4" s="12"/>
      <c r="P4" s="12"/>
      <c r="Q4" s="12"/>
      <c r="R4" s="12"/>
      <c r="S4" s="12"/>
      <c r="T4" s="12"/>
      <c r="U4" s="12"/>
      <c r="V4" s="12"/>
      <c r="W4" s="12"/>
      <c r="X4" s="12"/>
      <c r="Y4" s="12"/>
      <c r="Z4" s="12"/>
    </row>
    <row r="5">
      <c r="A5" s="20" t="s">
        <v>213</v>
      </c>
      <c r="B5" s="23" t="s">
        <v>216</v>
      </c>
      <c r="C5" s="25" t="s">
        <v>218</v>
      </c>
      <c r="D5" s="30" t="s">
        <v>57</v>
      </c>
      <c r="E5" s="25" t="s">
        <v>222</v>
      </c>
      <c r="F5" s="25" t="s">
        <v>49</v>
      </c>
      <c r="G5" s="25" t="s">
        <v>226</v>
      </c>
      <c r="H5" s="25" t="s">
        <v>229</v>
      </c>
      <c r="I5" s="25" t="s">
        <v>230</v>
      </c>
      <c r="J5" s="30" t="s">
        <v>233</v>
      </c>
      <c r="K5" s="25" t="s">
        <v>235</v>
      </c>
      <c r="L5" s="25" t="s">
        <v>237</v>
      </c>
      <c r="M5" s="41" t="s">
        <v>242</v>
      </c>
      <c r="N5" s="12"/>
      <c r="O5" s="12"/>
      <c r="P5" s="12"/>
      <c r="Q5" s="12"/>
      <c r="R5" s="12"/>
      <c r="S5" s="12"/>
      <c r="T5" s="12"/>
      <c r="U5" s="12"/>
      <c r="V5" s="12"/>
      <c r="W5" s="12"/>
      <c r="X5" s="12"/>
      <c r="Y5" s="12"/>
      <c r="Z5" s="12"/>
    </row>
    <row r="6">
      <c r="A6" s="20" t="s">
        <v>254</v>
      </c>
      <c r="B6" s="23" t="s">
        <v>256</v>
      </c>
      <c r="C6" s="25" t="s">
        <v>259</v>
      </c>
      <c r="D6" s="30" t="s">
        <v>57</v>
      </c>
      <c r="E6" s="25" t="s">
        <v>261</v>
      </c>
      <c r="F6" s="25" t="s">
        <v>265</v>
      </c>
      <c r="G6" s="25" t="s">
        <v>269</v>
      </c>
      <c r="H6" s="25" t="s">
        <v>272</v>
      </c>
      <c r="I6" s="25" t="s">
        <v>30</v>
      </c>
      <c r="J6" s="30" t="s">
        <v>273</v>
      </c>
      <c r="K6" s="25" t="s">
        <v>277</v>
      </c>
      <c r="L6" s="25" t="s">
        <v>278</v>
      </c>
      <c r="M6" s="41" t="s">
        <v>281</v>
      </c>
      <c r="N6" s="12"/>
      <c r="O6" s="12"/>
      <c r="P6" s="12"/>
      <c r="Q6" s="12"/>
      <c r="R6" s="12"/>
      <c r="S6" s="12"/>
      <c r="T6" s="12"/>
      <c r="U6" s="12"/>
      <c r="V6" s="12"/>
      <c r="W6" s="12"/>
      <c r="X6" s="12"/>
      <c r="Y6" s="12"/>
      <c r="Z6" s="12"/>
    </row>
    <row r="7">
      <c r="A7" s="20" t="s">
        <v>292</v>
      </c>
      <c r="B7" s="23" t="s">
        <v>294</v>
      </c>
      <c r="C7" s="25" t="s">
        <v>299</v>
      </c>
      <c r="D7" s="30" t="s">
        <v>57</v>
      </c>
      <c r="E7" s="25" t="s">
        <v>303</v>
      </c>
      <c r="F7" s="25" t="s">
        <v>307</v>
      </c>
      <c r="G7" s="25" t="s">
        <v>312</v>
      </c>
      <c r="H7" s="25" t="s">
        <v>314</v>
      </c>
      <c r="I7" s="25" t="s">
        <v>30</v>
      </c>
      <c r="J7" s="30" t="s">
        <v>273</v>
      </c>
      <c r="K7" s="25" t="s">
        <v>320</v>
      </c>
      <c r="L7" s="25" t="s">
        <v>323</v>
      </c>
      <c r="M7" s="41" t="s">
        <v>326</v>
      </c>
      <c r="N7" s="12"/>
      <c r="O7" s="12"/>
      <c r="P7" s="12"/>
      <c r="Q7" s="12"/>
      <c r="R7" s="12"/>
      <c r="S7" s="12"/>
      <c r="T7" s="12"/>
      <c r="U7" s="12"/>
      <c r="V7" s="12"/>
      <c r="W7" s="12"/>
      <c r="X7" s="12"/>
      <c r="Y7" s="12"/>
      <c r="Z7" s="12"/>
    </row>
    <row r="8">
      <c r="A8" s="20" t="s">
        <v>338</v>
      </c>
      <c r="B8" s="23" t="s">
        <v>342</v>
      </c>
      <c r="C8" s="25" t="s">
        <v>344</v>
      </c>
      <c r="D8" s="30" t="s">
        <v>57</v>
      </c>
      <c r="E8" s="25" t="s">
        <v>347</v>
      </c>
      <c r="F8" s="25" t="s">
        <v>349</v>
      </c>
      <c r="G8" s="25" t="s">
        <v>355</v>
      </c>
      <c r="H8" s="25" t="s">
        <v>30</v>
      </c>
      <c r="I8" s="25" t="s">
        <v>140</v>
      </c>
      <c r="J8" s="30" t="s">
        <v>360</v>
      </c>
      <c r="K8" s="25" t="s">
        <v>147</v>
      </c>
      <c r="L8" s="25" t="s">
        <v>363</v>
      </c>
      <c r="M8" s="41" t="s">
        <v>366</v>
      </c>
      <c r="N8" s="12"/>
      <c r="O8" s="12"/>
      <c r="P8" s="12"/>
      <c r="Q8" s="12"/>
      <c r="R8" s="12"/>
      <c r="S8" s="12"/>
      <c r="T8" s="12"/>
      <c r="U8" s="12"/>
      <c r="V8" s="12"/>
      <c r="W8" s="12"/>
      <c r="X8" s="12"/>
      <c r="Y8" s="12"/>
      <c r="Z8" s="12"/>
    </row>
    <row r="9">
      <c r="A9" s="20" t="s">
        <v>375</v>
      </c>
      <c r="B9" s="23" t="s">
        <v>376</v>
      </c>
      <c r="C9" s="25" t="s">
        <v>378</v>
      </c>
      <c r="D9" s="30" t="s">
        <v>57</v>
      </c>
      <c r="E9" s="25" t="s">
        <v>381</v>
      </c>
      <c r="F9" s="25" t="s">
        <v>384</v>
      </c>
      <c r="G9" s="25" t="s">
        <v>387</v>
      </c>
      <c r="H9" s="25" t="s">
        <v>30</v>
      </c>
      <c r="I9" s="25" t="s">
        <v>140</v>
      </c>
      <c r="J9" s="30" t="s">
        <v>390</v>
      </c>
      <c r="K9" s="25" t="s">
        <v>147</v>
      </c>
      <c r="L9" s="25" t="s">
        <v>393</v>
      </c>
      <c r="M9" s="41" t="s">
        <v>395</v>
      </c>
      <c r="N9" s="12"/>
      <c r="O9" s="12"/>
      <c r="P9" s="12"/>
      <c r="Q9" s="12"/>
      <c r="R9" s="12"/>
      <c r="S9" s="12"/>
      <c r="T9" s="12"/>
      <c r="U9" s="12"/>
      <c r="V9" s="12"/>
      <c r="W9" s="12"/>
      <c r="X9" s="12"/>
      <c r="Y9" s="12"/>
      <c r="Z9" s="12"/>
    </row>
    <row r="10">
      <c r="A10" s="20" t="s">
        <v>407</v>
      </c>
      <c r="B10" s="23" t="s">
        <v>408</v>
      </c>
      <c r="C10" s="25" t="s">
        <v>411</v>
      </c>
      <c r="D10" s="30" t="s">
        <v>57</v>
      </c>
      <c r="E10" s="25" t="s">
        <v>414</v>
      </c>
      <c r="F10" s="25" t="s">
        <v>415</v>
      </c>
      <c r="G10" s="25" t="s">
        <v>419</v>
      </c>
      <c r="H10" s="25" t="s">
        <v>30</v>
      </c>
      <c r="I10" s="25" t="s">
        <v>140</v>
      </c>
      <c r="J10" s="30" t="s">
        <v>423</v>
      </c>
      <c r="K10" s="25" t="s">
        <v>147</v>
      </c>
      <c r="L10" s="25" t="s">
        <v>426</v>
      </c>
      <c r="M10" s="41" t="s">
        <v>430</v>
      </c>
      <c r="N10" s="12"/>
      <c r="O10" s="12"/>
      <c r="P10" s="12"/>
      <c r="Q10" s="12"/>
      <c r="R10" s="12"/>
      <c r="S10" s="12"/>
      <c r="T10" s="12"/>
      <c r="U10" s="12"/>
      <c r="V10" s="12"/>
      <c r="W10" s="12"/>
      <c r="X10" s="12"/>
      <c r="Y10" s="12"/>
      <c r="Z10" s="12"/>
    </row>
    <row r="11">
      <c r="A11" s="20" t="s">
        <v>442</v>
      </c>
      <c r="B11" s="23" t="s">
        <v>444</v>
      </c>
      <c r="C11" s="25" t="s">
        <v>446</v>
      </c>
      <c r="D11" s="30" t="s">
        <v>57</v>
      </c>
      <c r="E11" s="25" t="s">
        <v>448</v>
      </c>
      <c r="F11" s="25" t="s">
        <v>451</v>
      </c>
      <c r="G11" s="25" t="s">
        <v>455</v>
      </c>
      <c r="H11" s="25" t="s">
        <v>30</v>
      </c>
      <c r="I11" s="25" t="s">
        <v>140</v>
      </c>
      <c r="J11" s="30" t="s">
        <v>458</v>
      </c>
      <c r="K11" s="25" t="s">
        <v>147</v>
      </c>
      <c r="L11" s="25" t="s">
        <v>393</v>
      </c>
      <c r="M11" s="41" t="s">
        <v>463</v>
      </c>
      <c r="N11" s="12"/>
      <c r="O11" s="12"/>
      <c r="P11" s="12"/>
      <c r="Q11" s="12"/>
      <c r="R11" s="12"/>
      <c r="S11" s="12"/>
      <c r="T11" s="12"/>
      <c r="U11" s="12"/>
      <c r="V11" s="12"/>
      <c r="W11" s="12"/>
      <c r="X11" s="12"/>
      <c r="Y11" s="12"/>
      <c r="Z11" s="12"/>
    </row>
    <row r="12">
      <c r="A12" s="20" t="s">
        <v>469</v>
      </c>
      <c r="B12" s="23" t="s">
        <v>471</v>
      </c>
      <c r="C12" s="25" t="s">
        <v>472</v>
      </c>
      <c r="D12" s="30" t="s">
        <v>57</v>
      </c>
      <c r="E12" s="25" t="s">
        <v>474</v>
      </c>
      <c r="F12" s="25" t="s">
        <v>49</v>
      </c>
      <c r="G12" s="25" t="s">
        <v>478</v>
      </c>
      <c r="H12" s="25" t="s">
        <v>481</v>
      </c>
      <c r="I12" s="25" t="s">
        <v>484</v>
      </c>
      <c r="J12" s="30" t="s">
        <v>486</v>
      </c>
      <c r="K12" s="25" t="s">
        <v>147</v>
      </c>
      <c r="L12" s="25" t="s">
        <v>489</v>
      </c>
      <c r="M12" s="41" t="s">
        <v>490</v>
      </c>
      <c r="N12" s="12"/>
      <c r="O12" s="12"/>
      <c r="P12" s="12"/>
      <c r="Q12" s="12"/>
      <c r="R12" s="12"/>
      <c r="S12" s="12"/>
      <c r="T12" s="12"/>
      <c r="U12" s="12"/>
      <c r="V12" s="12"/>
      <c r="W12" s="12"/>
      <c r="X12" s="12"/>
      <c r="Y12" s="12"/>
      <c r="Z12" s="12"/>
    </row>
    <row r="13">
      <c r="A13" s="20" t="s">
        <v>498</v>
      </c>
      <c r="B13" s="23" t="s">
        <v>500</v>
      </c>
      <c r="C13" s="25" t="s">
        <v>504</v>
      </c>
      <c r="D13" s="30" t="s">
        <v>57</v>
      </c>
      <c r="E13" s="25" t="s">
        <v>509</v>
      </c>
      <c r="F13" s="25" t="s">
        <v>510</v>
      </c>
      <c r="G13" s="25" t="s">
        <v>513</v>
      </c>
      <c r="H13" s="25" t="s">
        <v>514</v>
      </c>
      <c r="I13" s="25" t="s">
        <v>140</v>
      </c>
      <c r="J13" s="30" t="s">
        <v>517</v>
      </c>
      <c r="K13" s="25" t="s">
        <v>147</v>
      </c>
      <c r="L13" s="25" t="s">
        <v>519</v>
      </c>
      <c r="M13" s="41" t="s">
        <v>521</v>
      </c>
      <c r="N13" s="12"/>
      <c r="O13" s="12"/>
      <c r="P13" s="12"/>
      <c r="Q13" s="12"/>
      <c r="R13" s="12"/>
      <c r="S13" s="12"/>
      <c r="T13" s="12"/>
      <c r="U13" s="12"/>
      <c r="V13" s="12"/>
      <c r="W13" s="12"/>
      <c r="X13" s="12"/>
      <c r="Y13" s="12"/>
      <c r="Z13" s="12"/>
    </row>
    <row r="14">
      <c r="A14" s="20" t="s">
        <v>528</v>
      </c>
      <c r="B14" s="23" t="s">
        <v>529</v>
      </c>
      <c r="C14" s="25" t="s">
        <v>531</v>
      </c>
      <c r="D14" s="30" t="s">
        <v>57</v>
      </c>
      <c r="E14" s="25" t="s">
        <v>534</v>
      </c>
      <c r="F14" s="25" t="s">
        <v>49</v>
      </c>
      <c r="G14" s="25" t="s">
        <v>537</v>
      </c>
      <c r="H14" s="25" t="s">
        <v>539</v>
      </c>
      <c r="I14" s="25" t="s">
        <v>140</v>
      </c>
      <c r="J14" s="30" t="s">
        <v>541</v>
      </c>
      <c r="K14" s="25" t="s">
        <v>147</v>
      </c>
      <c r="L14" s="25" t="s">
        <v>543</v>
      </c>
      <c r="M14" s="41" t="s">
        <v>544</v>
      </c>
      <c r="N14" s="12"/>
      <c r="O14" s="12"/>
      <c r="P14" s="12"/>
      <c r="Q14" s="12"/>
      <c r="R14" s="12"/>
      <c r="S14" s="12"/>
      <c r="T14" s="12"/>
      <c r="U14" s="12"/>
      <c r="V14" s="12"/>
      <c r="W14" s="12"/>
      <c r="X14" s="12"/>
      <c r="Y14" s="12"/>
      <c r="Z14" s="12"/>
    </row>
    <row r="15">
      <c r="A15" s="20" t="s">
        <v>546</v>
      </c>
      <c r="B15" s="23" t="s">
        <v>547</v>
      </c>
      <c r="C15" s="25" t="s">
        <v>549</v>
      </c>
      <c r="D15" s="30" t="s">
        <v>57</v>
      </c>
      <c r="E15" s="25" t="s">
        <v>551</v>
      </c>
      <c r="F15" s="25" t="s">
        <v>552</v>
      </c>
      <c r="G15" s="25" t="s">
        <v>553</v>
      </c>
      <c r="H15" s="25" t="s">
        <v>30</v>
      </c>
      <c r="I15" s="25" t="s">
        <v>140</v>
      </c>
      <c r="J15" s="30" t="s">
        <v>557</v>
      </c>
      <c r="K15" s="25" t="s">
        <v>147</v>
      </c>
      <c r="L15" s="25" t="s">
        <v>560</v>
      </c>
      <c r="M15" s="41" t="s">
        <v>562</v>
      </c>
      <c r="N15" s="12"/>
      <c r="O15" s="12"/>
      <c r="P15" s="12"/>
      <c r="Q15" s="12"/>
      <c r="R15" s="12"/>
      <c r="S15" s="12"/>
      <c r="T15" s="12"/>
      <c r="U15" s="12"/>
      <c r="V15" s="12"/>
      <c r="W15" s="12"/>
      <c r="X15" s="12"/>
      <c r="Y15" s="12"/>
      <c r="Z15" s="12"/>
    </row>
    <row r="16">
      <c r="A16" s="20" t="s">
        <v>577</v>
      </c>
      <c r="B16" s="23" t="s">
        <v>578</v>
      </c>
      <c r="C16" s="25" t="s">
        <v>580</v>
      </c>
      <c r="D16" s="30" t="s">
        <v>57</v>
      </c>
      <c r="E16" s="25" t="s">
        <v>581</v>
      </c>
      <c r="F16" s="25" t="s">
        <v>583</v>
      </c>
      <c r="G16" s="25" t="s">
        <v>585</v>
      </c>
      <c r="H16" s="25" t="s">
        <v>30</v>
      </c>
      <c r="I16" s="25" t="s">
        <v>586</v>
      </c>
      <c r="J16" s="30" t="s">
        <v>587</v>
      </c>
      <c r="K16" s="25" t="s">
        <v>588</v>
      </c>
      <c r="L16" s="25" t="s">
        <v>591</v>
      </c>
      <c r="M16" s="41" t="s">
        <v>595</v>
      </c>
      <c r="N16" s="12"/>
      <c r="O16" s="12"/>
      <c r="P16" s="12"/>
      <c r="Q16" s="12"/>
      <c r="R16" s="12"/>
      <c r="S16" s="12"/>
      <c r="T16" s="12"/>
      <c r="U16" s="12"/>
      <c r="V16" s="12"/>
      <c r="W16" s="12"/>
      <c r="X16" s="12"/>
      <c r="Y16" s="12"/>
      <c r="Z16" s="12"/>
    </row>
    <row r="17">
      <c r="A17" s="20" t="s">
        <v>602</v>
      </c>
      <c r="B17" s="23" t="s">
        <v>603</v>
      </c>
      <c r="C17" s="25" t="s">
        <v>605</v>
      </c>
      <c r="D17" s="30" t="s">
        <v>57</v>
      </c>
      <c r="E17" s="25" t="s">
        <v>607</v>
      </c>
      <c r="F17" s="25" t="s">
        <v>609</v>
      </c>
      <c r="G17" s="25" t="s">
        <v>611</v>
      </c>
      <c r="H17" s="25" t="s">
        <v>30</v>
      </c>
      <c r="I17" s="25" t="s">
        <v>612</v>
      </c>
      <c r="J17" s="30" t="s">
        <v>614</v>
      </c>
      <c r="K17" s="25" t="s">
        <v>616</v>
      </c>
      <c r="L17" s="25" t="s">
        <v>617</v>
      </c>
      <c r="M17" s="41" t="s">
        <v>619</v>
      </c>
      <c r="N17" s="12"/>
      <c r="O17" s="12"/>
      <c r="P17" s="12"/>
      <c r="Q17" s="12"/>
      <c r="R17" s="12"/>
      <c r="S17" s="12"/>
      <c r="T17" s="12"/>
      <c r="U17" s="12"/>
      <c r="V17" s="12"/>
      <c r="W17" s="12"/>
      <c r="X17" s="12"/>
      <c r="Y17" s="12"/>
      <c r="Z17" s="12"/>
    </row>
    <row r="18">
      <c r="A18" s="20" t="s">
        <v>624</v>
      </c>
      <c r="B18" s="23" t="s">
        <v>626</v>
      </c>
      <c r="C18" s="25" t="s">
        <v>627</v>
      </c>
      <c r="D18" s="30" t="s">
        <v>57</v>
      </c>
      <c r="E18" s="25" t="s">
        <v>629</v>
      </c>
      <c r="F18" s="25" t="s">
        <v>49</v>
      </c>
      <c r="G18" s="25" t="s">
        <v>632</v>
      </c>
      <c r="H18" s="25" t="s">
        <v>30</v>
      </c>
      <c r="I18" s="25" t="s">
        <v>634</v>
      </c>
      <c r="J18" s="30" t="s">
        <v>636</v>
      </c>
      <c r="K18" s="25" t="s">
        <v>637</v>
      </c>
      <c r="L18" s="25" t="s">
        <v>638</v>
      </c>
      <c r="M18" s="41" t="s">
        <v>640</v>
      </c>
      <c r="N18" s="12"/>
      <c r="O18" s="12"/>
      <c r="P18" s="12"/>
      <c r="Q18" s="12"/>
      <c r="R18" s="12"/>
      <c r="S18" s="12"/>
      <c r="T18" s="12"/>
      <c r="U18" s="12"/>
      <c r="V18" s="12"/>
      <c r="W18" s="12"/>
      <c r="X18" s="12"/>
      <c r="Y18" s="12"/>
      <c r="Z18" s="12"/>
    </row>
    <row r="19">
      <c r="A19" s="20" t="s">
        <v>643</v>
      </c>
      <c r="B19" s="23" t="s">
        <v>645</v>
      </c>
      <c r="C19" s="25" t="s">
        <v>647</v>
      </c>
      <c r="D19" s="30" t="s">
        <v>57</v>
      </c>
      <c r="E19" s="25" t="s">
        <v>651</v>
      </c>
      <c r="F19" s="25" t="s">
        <v>652</v>
      </c>
      <c r="G19" s="25" t="s">
        <v>655</v>
      </c>
      <c r="H19" s="25" t="s">
        <v>30</v>
      </c>
      <c r="I19" s="25" t="s">
        <v>30</v>
      </c>
      <c r="J19" s="30" t="s">
        <v>273</v>
      </c>
      <c r="K19" s="25" t="s">
        <v>660</v>
      </c>
      <c r="L19" s="25" t="s">
        <v>662</v>
      </c>
      <c r="M19" s="41" t="s">
        <v>663</v>
      </c>
      <c r="N19" s="12"/>
      <c r="O19" s="12"/>
      <c r="P19" s="12"/>
      <c r="Q19" s="12"/>
      <c r="R19" s="12"/>
      <c r="S19" s="12"/>
      <c r="T19" s="12"/>
      <c r="U19" s="12"/>
      <c r="V19" s="12"/>
      <c r="W19" s="12"/>
      <c r="X19" s="12"/>
      <c r="Y19" s="12"/>
      <c r="Z19" s="12"/>
    </row>
    <row r="20">
      <c r="A20" s="20" t="s">
        <v>666</v>
      </c>
      <c r="B20" s="23" t="s">
        <v>667</v>
      </c>
      <c r="C20" s="25" t="s">
        <v>669</v>
      </c>
      <c r="D20" s="30" t="s">
        <v>57</v>
      </c>
      <c r="E20" s="25" t="s">
        <v>671</v>
      </c>
      <c r="F20" s="25" t="s">
        <v>673</v>
      </c>
      <c r="G20" s="25" t="s">
        <v>675</v>
      </c>
      <c r="H20" s="25" t="s">
        <v>30</v>
      </c>
      <c r="I20" s="25" t="s">
        <v>30</v>
      </c>
      <c r="J20" s="30" t="s">
        <v>273</v>
      </c>
      <c r="K20" s="25" t="s">
        <v>678</v>
      </c>
      <c r="L20" s="25" t="s">
        <v>680</v>
      </c>
      <c r="M20" s="41" t="s">
        <v>682</v>
      </c>
      <c r="N20" s="12"/>
      <c r="O20" s="12"/>
      <c r="P20" s="12"/>
      <c r="Q20" s="12"/>
      <c r="R20" s="12"/>
      <c r="S20" s="12"/>
      <c r="T20" s="12"/>
      <c r="U20" s="12"/>
      <c r="V20" s="12"/>
      <c r="W20" s="12"/>
      <c r="X20" s="12"/>
      <c r="Y20" s="12"/>
      <c r="Z20" s="12"/>
    </row>
    <row r="21">
      <c r="A21" s="20" t="s">
        <v>685</v>
      </c>
      <c r="B21" s="23" t="s">
        <v>687</v>
      </c>
      <c r="C21" s="25" t="s">
        <v>689</v>
      </c>
      <c r="D21" s="30" t="s">
        <v>57</v>
      </c>
      <c r="E21" s="25" t="s">
        <v>691</v>
      </c>
      <c r="F21" s="25" t="s">
        <v>693</v>
      </c>
      <c r="G21" s="25" t="s">
        <v>696</v>
      </c>
      <c r="H21" s="25" t="s">
        <v>30</v>
      </c>
      <c r="I21" s="25" t="s">
        <v>30</v>
      </c>
      <c r="J21" s="30" t="s">
        <v>273</v>
      </c>
      <c r="K21" s="25" t="s">
        <v>698</v>
      </c>
      <c r="L21" s="25" t="s">
        <v>680</v>
      </c>
      <c r="M21" s="41" t="s">
        <v>701</v>
      </c>
      <c r="N21" s="12"/>
      <c r="O21" s="12"/>
      <c r="P21" s="12"/>
      <c r="Q21" s="12"/>
      <c r="R21" s="12"/>
      <c r="S21" s="12"/>
      <c r="T21" s="12"/>
      <c r="U21" s="12"/>
      <c r="V21" s="12"/>
      <c r="W21" s="12"/>
      <c r="X21" s="12"/>
      <c r="Y21" s="12"/>
      <c r="Z21" s="12"/>
    </row>
    <row r="22">
      <c r="A22" s="20" t="s">
        <v>705</v>
      </c>
      <c r="B22" s="23" t="s">
        <v>706</v>
      </c>
      <c r="C22" s="25" t="s">
        <v>712</v>
      </c>
      <c r="D22" s="30" t="s">
        <v>714</v>
      </c>
      <c r="E22" s="25" t="s">
        <v>715</v>
      </c>
      <c r="F22" s="25" t="s">
        <v>716</v>
      </c>
      <c r="G22" s="25" t="s">
        <v>718</v>
      </c>
      <c r="H22" s="25" t="s">
        <v>30</v>
      </c>
      <c r="I22" s="25" t="s">
        <v>30</v>
      </c>
      <c r="J22" s="30" t="s">
        <v>273</v>
      </c>
      <c r="K22" s="25" t="s">
        <v>722</v>
      </c>
      <c r="L22" s="25" t="s">
        <v>680</v>
      </c>
      <c r="M22" s="41" t="s">
        <v>725</v>
      </c>
      <c r="N22" s="12"/>
      <c r="O22" s="12"/>
      <c r="P22" s="12"/>
      <c r="Q22" s="12"/>
      <c r="R22" s="12"/>
      <c r="S22" s="12"/>
      <c r="T22" s="12"/>
      <c r="U22" s="12"/>
      <c r="V22" s="12"/>
      <c r="W22" s="12"/>
      <c r="X22" s="12"/>
      <c r="Y22" s="12"/>
      <c r="Z22" s="12"/>
    </row>
    <row r="23">
      <c r="A23" s="20" t="s">
        <v>731</v>
      </c>
      <c r="B23" s="23" t="s">
        <v>732</v>
      </c>
      <c r="C23" s="25" t="s">
        <v>734</v>
      </c>
      <c r="D23" s="30" t="s">
        <v>57</v>
      </c>
      <c r="E23" s="25" t="s">
        <v>736</v>
      </c>
      <c r="F23" s="25" t="s">
        <v>738</v>
      </c>
      <c r="G23" s="25" t="s">
        <v>740</v>
      </c>
      <c r="H23" s="25" t="s">
        <v>742</v>
      </c>
      <c r="I23" s="25" t="s">
        <v>30</v>
      </c>
      <c r="J23" s="30" t="s">
        <v>273</v>
      </c>
      <c r="K23" s="25" t="s">
        <v>320</v>
      </c>
      <c r="L23" s="25" t="s">
        <v>680</v>
      </c>
      <c r="M23" s="41" t="s">
        <v>745</v>
      </c>
      <c r="N23" s="12"/>
      <c r="O23" s="12"/>
      <c r="P23" s="12"/>
      <c r="Q23" s="12"/>
      <c r="R23" s="12"/>
      <c r="S23" s="12"/>
      <c r="T23" s="12"/>
      <c r="U23" s="12"/>
      <c r="V23" s="12"/>
      <c r="W23" s="12"/>
      <c r="X23" s="12"/>
      <c r="Y23" s="12"/>
      <c r="Z23" s="12"/>
    </row>
    <row r="24">
      <c r="A24" s="20" t="s">
        <v>748</v>
      </c>
      <c r="B24" s="23" t="s">
        <v>749</v>
      </c>
      <c r="C24" s="25" t="s">
        <v>751</v>
      </c>
      <c r="D24" s="30" t="s">
        <v>752</v>
      </c>
      <c r="E24" s="25" t="s">
        <v>754</v>
      </c>
      <c r="F24" s="25" t="s">
        <v>756</v>
      </c>
      <c r="G24" s="25" t="s">
        <v>759</v>
      </c>
      <c r="H24" s="25" t="s">
        <v>30</v>
      </c>
      <c r="I24" s="25" t="s">
        <v>30</v>
      </c>
      <c r="J24" s="30" t="s">
        <v>273</v>
      </c>
      <c r="K24" s="25" t="s">
        <v>763</v>
      </c>
      <c r="L24" s="25" t="s">
        <v>764</v>
      </c>
      <c r="M24" s="41" t="s">
        <v>766</v>
      </c>
      <c r="N24" s="12"/>
      <c r="O24" s="12"/>
      <c r="P24" s="12"/>
      <c r="Q24" s="12"/>
      <c r="R24" s="12"/>
      <c r="S24" s="12"/>
      <c r="T24" s="12"/>
      <c r="U24" s="12"/>
      <c r="V24" s="12"/>
      <c r="W24" s="12"/>
      <c r="X24" s="12"/>
      <c r="Y24" s="12"/>
      <c r="Z24" s="12"/>
    </row>
    <row r="25">
      <c r="A25" s="20" t="s">
        <v>793</v>
      </c>
      <c r="B25" s="23" t="s">
        <v>796</v>
      </c>
      <c r="C25" s="25" t="s">
        <v>798</v>
      </c>
      <c r="D25" s="30" t="s">
        <v>752</v>
      </c>
      <c r="E25" s="25" t="s">
        <v>802</v>
      </c>
      <c r="F25" s="25" t="s">
        <v>804</v>
      </c>
      <c r="G25" s="25" t="s">
        <v>806</v>
      </c>
      <c r="H25" s="25" t="s">
        <v>30</v>
      </c>
      <c r="I25" s="25" t="s">
        <v>30</v>
      </c>
      <c r="J25" s="30" t="s">
        <v>273</v>
      </c>
      <c r="K25" s="25" t="s">
        <v>808</v>
      </c>
      <c r="L25" s="25" t="s">
        <v>809</v>
      </c>
      <c r="M25" s="41" t="s">
        <v>813</v>
      </c>
      <c r="N25" s="12"/>
      <c r="O25" s="12"/>
      <c r="P25" s="12"/>
      <c r="Q25" s="12"/>
      <c r="R25" s="12"/>
      <c r="S25" s="12"/>
      <c r="T25" s="12"/>
      <c r="U25" s="12"/>
      <c r="V25" s="12"/>
      <c r="W25" s="12"/>
      <c r="X25" s="12"/>
      <c r="Y25" s="12"/>
      <c r="Z25" s="12"/>
    </row>
    <row r="26">
      <c r="A26" s="20" t="s">
        <v>824</v>
      </c>
      <c r="B26" s="23" t="s">
        <v>826</v>
      </c>
      <c r="C26" s="25" t="s">
        <v>828</v>
      </c>
      <c r="D26" s="30" t="s">
        <v>752</v>
      </c>
      <c r="E26" s="25" t="s">
        <v>830</v>
      </c>
      <c r="F26" s="25" t="s">
        <v>832</v>
      </c>
      <c r="G26" s="25" t="s">
        <v>833</v>
      </c>
      <c r="H26" s="25" t="s">
        <v>30</v>
      </c>
      <c r="I26" s="25" t="s">
        <v>30</v>
      </c>
      <c r="J26" s="30" t="s">
        <v>273</v>
      </c>
      <c r="K26" s="25" t="s">
        <v>839</v>
      </c>
      <c r="L26" s="25" t="s">
        <v>840</v>
      </c>
      <c r="M26" s="41" t="s">
        <v>843</v>
      </c>
      <c r="N26" s="12"/>
      <c r="O26" s="12"/>
      <c r="P26" s="12"/>
      <c r="Q26" s="12"/>
      <c r="R26" s="12"/>
      <c r="S26" s="12"/>
      <c r="T26" s="12"/>
      <c r="U26" s="12"/>
      <c r="V26" s="12"/>
      <c r="W26" s="12"/>
      <c r="X26" s="12"/>
      <c r="Y26" s="12"/>
      <c r="Z26" s="12"/>
    </row>
    <row r="27">
      <c r="A27" s="20" t="s">
        <v>853</v>
      </c>
      <c r="B27" s="23" t="s">
        <v>855</v>
      </c>
      <c r="C27" s="25" t="s">
        <v>860</v>
      </c>
      <c r="D27" s="30" t="s">
        <v>57</v>
      </c>
      <c r="E27" s="25" t="s">
        <v>864</v>
      </c>
      <c r="F27" s="25" t="s">
        <v>866</v>
      </c>
      <c r="G27" s="25" t="s">
        <v>870</v>
      </c>
      <c r="H27" s="25" t="s">
        <v>873</v>
      </c>
      <c r="I27" s="25" t="s">
        <v>876</v>
      </c>
      <c r="J27" s="30" t="s">
        <v>878</v>
      </c>
      <c r="K27" s="25" t="s">
        <v>880</v>
      </c>
      <c r="L27" s="25" t="s">
        <v>881</v>
      </c>
      <c r="M27" s="41" t="s">
        <v>885</v>
      </c>
      <c r="N27" s="12"/>
      <c r="O27" s="12"/>
      <c r="P27" s="12"/>
      <c r="Q27" s="12"/>
      <c r="R27" s="12"/>
      <c r="S27" s="12"/>
      <c r="T27" s="12"/>
      <c r="U27" s="12"/>
      <c r="V27" s="12"/>
      <c r="W27" s="12"/>
      <c r="X27" s="12"/>
      <c r="Y27" s="12"/>
      <c r="Z27" s="12"/>
    </row>
    <row r="28">
      <c r="A28" s="20" t="s">
        <v>892</v>
      </c>
      <c r="B28" s="23" t="s">
        <v>895</v>
      </c>
      <c r="C28" s="25" t="s">
        <v>897</v>
      </c>
      <c r="D28" s="30" t="s">
        <v>57</v>
      </c>
      <c r="E28" s="25" t="s">
        <v>899</v>
      </c>
      <c r="F28" s="25" t="s">
        <v>900</v>
      </c>
      <c r="G28" s="25" t="s">
        <v>904</v>
      </c>
      <c r="H28" s="25" t="s">
        <v>30</v>
      </c>
      <c r="I28" s="25" t="s">
        <v>909</v>
      </c>
      <c r="J28" s="30" t="s">
        <v>914</v>
      </c>
      <c r="K28" s="25" t="s">
        <v>916</v>
      </c>
      <c r="L28" s="25" t="s">
        <v>920</v>
      </c>
      <c r="M28" s="41" t="s">
        <v>924</v>
      </c>
      <c r="N28" s="12"/>
      <c r="O28" s="12"/>
      <c r="P28" s="12"/>
      <c r="Q28" s="12"/>
      <c r="R28" s="12"/>
      <c r="S28" s="12"/>
      <c r="T28" s="12"/>
      <c r="U28" s="12"/>
      <c r="V28" s="12"/>
      <c r="W28" s="12"/>
      <c r="X28" s="12"/>
      <c r="Y28" s="12"/>
      <c r="Z28" s="12"/>
    </row>
    <row r="29">
      <c r="A29" s="20" t="s">
        <v>939</v>
      </c>
      <c r="B29" s="23" t="s">
        <v>942</v>
      </c>
      <c r="C29" s="25" t="s">
        <v>944</v>
      </c>
      <c r="D29" s="30" t="s">
        <v>57</v>
      </c>
      <c r="E29" s="25" t="s">
        <v>948</v>
      </c>
      <c r="F29" s="25" t="s">
        <v>49</v>
      </c>
      <c r="G29" s="25" t="s">
        <v>951</v>
      </c>
      <c r="H29" s="25" t="s">
        <v>30</v>
      </c>
      <c r="I29" s="25" t="s">
        <v>953</v>
      </c>
      <c r="J29" s="30" t="s">
        <v>956</v>
      </c>
      <c r="K29" s="25" t="s">
        <v>916</v>
      </c>
      <c r="L29" s="25" t="s">
        <v>959</v>
      </c>
      <c r="M29" s="41" t="s">
        <v>962</v>
      </c>
      <c r="N29" s="12"/>
      <c r="O29" s="12"/>
      <c r="P29" s="12"/>
      <c r="Q29" s="12"/>
      <c r="R29" s="12"/>
      <c r="S29" s="12"/>
      <c r="T29" s="12"/>
      <c r="U29" s="12"/>
      <c r="V29" s="12"/>
      <c r="W29" s="12"/>
      <c r="X29" s="12"/>
      <c r="Y29" s="12"/>
      <c r="Z29" s="12"/>
    </row>
    <row r="30">
      <c r="A30" s="20" t="s">
        <v>975</v>
      </c>
      <c r="B30" s="23" t="s">
        <v>978</v>
      </c>
      <c r="C30" s="25" t="s">
        <v>982</v>
      </c>
      <c r="D30" s="30" t="s">
        <v>57</v>
      </c>
      <c r="E30" s="25" t="s">
        <v>986</v>
      </c>
      <c r="F30" s="25" t="s">
        <v>990</v>
      </c>
      <c r="G30" s="25" t="s">
        <v>992</v>
      </c>
      <c r="H30" s="25" t="s">
        <v>30</v>
      </c>
      <c r="I30" s="25" t="s">
        <v>996</v>
      </c>
      <c r="J30" s="30" t="s">
        <v>1002</v>
      </c>
      <c r="K30" s="25" t="s">
        <v>239</v>
      </c>
      <c r="L30" s="25" t="s">
        <v>1007</v>
      </c>
      <c r="M30" s="41" t="s">
        <v>1011</v>
      </c>
      <c r="N30" s="12"/>
      <c r="O30" s="12"/>
      <c r="P30" s="12"/>
      <c r="Q30" s="12"/>
      <c r="R30" s="12"/>
      <c r="S30" s="12"/>
      <c r="T30" s="12"/>
      <c r="U30" s="12"/>
      <c r="V30" s="12"/>
      <c r="W30" s="12"/>
      <c r="X30" s="12"/>
      <c r="Y30" s="12"/>
      <c r="Z30" s="12"/>
    </row>
    <row r="31">
      <c r="A31" s="20" t="s">
        <v>1027</v>
      </c>
      <c r="B31" s="23" t="s">
        <v>1030</v>
      </c>
      <c r="C31" s="25" t="s">
        <v>1033</v>
      </c>
      <c r="D31" s="30" t="s">
        <v>57</v>
      </c>
      <c r="E31" s="25" t="s">
        <v>1039</v>
      </c>
      <c r="F31" s="25" t="s">
        <v>1042</v>
      </c>
      <c r="G31" s="25" t="s">
        <v>1046</v>
      </c>
      <c r="H31" s="25" t="s">
        <v>1053</v>
      </c>
      <c r="I31" s="25" t="s">
        <v>30</v>
      </c>
      <c r="J31" s="30" t="s">
        <v>273</v>
      </c>
      <c r="K31" s="25" t="s">
        <v>1059</v>
      </c>
      <c r="L31" s="25" t="s">
        <v>1061</v>
      </c>
      <c r="M31" s="41" t="s">
        <v>1066</v>
      </c>
      <c r="N31" s="12"/>
      <c r="O31" s="12"/>
      <c r="P31" s="12"/>
      <c r="Q31" s="12"/>
      <c r="R31" s="12"/>
      <c r="S31" s="12"/>
      <c r="T31" s="12"/>
      <c r="U31" s="12"/>
      <c r="V31" s="12"/>
      <c r="W31" s="12"/>
      <c r="X31" s="12"/>
      <c r="Y31" s="12"/>
      <c r="Z31" s="12"/>
    </row>
    <row r="32">
      <c r="A32" s="20" t="s">
        <v>1083</v>
      </c>
      <c r="B32" s="23" t="s">
        <v>1085</v>
      </c>
      <c r="C32" s="25" t="s">
        <v>1089</v>
      </c>
      <c r="D32" s="30" t="s">
        <v>57</v>
      </c>
      <c r="E32" s="25" t="s">
        <v>1093</v>
      </c>
      <c r="F32" s="25" t="s">
        <v>1095</v>
      </c>
      <c r="G32" s="25" t="s">
        <v>1099</v>
      </c>
      <c r="H32" s="25" t="s">
        <v>30</v>
      </c>
      <c r="I32" s="25" t="s">
        <v>30</v>
      </c>
      <c r="J32" s="30" t="s">
        <v>273</v>
      </c>
      <c r="K32" s="25" t="s">
        <v>1059</v>
      </c>
      <c r="L32" s="25" t="s">
        <v>1107</v>
      </c>
      <c r="M32" s="41" t="s">
        <v>1114</v>
      </c>
      <c r="N32" s="12"/>
      <c r="O32" s="12"/>
      <c r="P32" s="12"/>
      <c r="Q32" s="12"/>
      <c r="R32" s="12"/>
      <c r="S32" s="12"/>
      <c r="T32" s="12"/>
      <c r="U32" s="12"/>
      <c r="V32" s="12"/>
      <c r="W32" s="12"/>
      <c r="X32" s="12"/>
      <c r="Y32" s="12"/>
      <c r="Z32" s="12"/>
    </row>
    <row r="33">
      <c r="A33" s="20" t="s">
        <v>1120</v>
      </c>
      <c r="B33" s="23" t="s">
        <v>1123</v>
      </c>
      <c r="C33" s="25" t="s">
        <v>1127</v>
      </c>
      <c r="D33" s="30" t="s">
        <v>1130</v>
      </c>
      <c r="E33" s="25" t="s">
        <v>1132</v>
      </c>
      <c r="F33" s="25" t="s">
        <v>1136</v>
      </c>
      <c r="G33" s="25" t="s">
        <v>1140</v>
      </c>
      <c r="H33" s="25" t="s">
        <v>30</v>
      </c>
      <c r="I33" s="25" t="s">
        <v>1144</v>
      </c>
      <c r="J33" s="30" t="s">
        <v>1150</v>
      </c>
      <c r="K33" s="25" t="s">
        <v>1153</v>
      </c>
      <c r="L33" s="25" t="s">
        <v>1155</v>
      </c>
      <c r="M33" s="41" t="s">
        <v>1159</v>
      </c>
      <c r="N33" s="12"/>
      <c r="O33" s="12"/>
      <c r="P33" s="12"/>
      <c r="Q33" s="12"/>
      <c r="R33" s="12"/>
      <c r="S33" s="12"/>
      <c r="T33" s="12"/>
      <c r="U33" s="12"/>
      <c r="V33" s="12"/>
      <c r="W33" s="12"/>
      <c r="X33" s="12"/>
      <c r="Y33" s="12"/>
      <c r="Z33" s="12"/>
    </row>
    <row r="34">
      <c r="A34" s="20" t="s">
        <v>1173</v>
      </c>
      <c r="B34" s="23" t="s">
        <v>1175</v>
      </c>
      <c r="C34" s="25" t="s">
        <v>1177</v>
      </c>
      <c r="D34" s="30" t="s">
        <v>1130</v>
      </c>
      <c r="E34" s="25" t="s">
        <v>1182</v>
      </c>
      <c r="F34" s="25" t="s">
        <v>1136</v>
      </c>
      <c r="G34" s="25" t="s">
        <v>1189</v>
      </c>
      <c r="H34" s="25" t="s">
        <v>30</v>
      </c>
      <c r="I34" s="25" t="s">
        <v>1192</v>
      </c>
      <c r="J34" s="30" t="s">
        <v>1197</v>
      </c>
      <c r="K34" s="25" t="s">
        <v>1153</v>
      </c>
      <c r="L34" s="25" t="s">
        <v>1155</v>
      </c>
      <c r="M34" s="41" t="s">
        <v>1206</v>
      </c>
      <c r="N34" s="12"/>
      <c r="O34" s="12"/>
      <c r="P34" s="12"/>
      <c r="Q34" s="12"/>
      <c r="R34" s="12"/>
      <c r="S34" s="12"/>
      <c r="T34" s="12"/>
      <c r="U34" s="12"/>
      <c r="V34" s="12"/>
      <c r="W34" s="12"/>
      <c r="X34" s="12"/>
      <c r="Y34" s="12"/>
      <c r="Z34" s="12"/>
    </row>
    <row r="35">
      <c r="A35" s="20" t="s">
        <v>1215</v>
      </c>
      <c r="B35" s="23" t="s">
        <v>1216</v>
      </c>
      <c r="C35" s="25" t="s">
        <v>1220</v>
      </c>
      <c r="D35" s="30" t="s">
        <v>1222</v>
      </c>
      <c r="E35" s="25" t="s">
        <v>1223</v>
      </c>
      <c r="F35" s="25" t="s">
        <v>1227</v>
      </c>
      <c r="G35" s="25" t="s">
        <v>1230</v>
      </c>
      <c r="H35" s="25" t="s">
        <v>1232</v>
      </c>
      <c r="I35" s="25" t="s">
        <v>1234</v>
      </c>
      <c r="J35" s="30" t="s">
        <v>1235</v>
      </c>
      <c r="K35" s="25" t="s">
        <v>1153</v>
      </c>
      <c r="L35" s="25" t="s">
        <v>1236</v>
      </c>
      <c r="M35" s="41" t="s">
        <v>1241</v>
      </c>
      <c r="N35" s="12"/>
      <c r="O35" s="12"/>
      <c r="P35" s="12"/>
      <c r="Q35" s="12"/>
      <c r="R35" s="12"/>
      <c r="S35" s="12"/>
      <c r="T35" s="12"/>
      <c r="U35" s="12"/>
      <c r="V35" s="12"/>
      <c r="W35" s="12"/>
      <c r="X35" s="12"/>
      <c r="Y35" s="12"/>
      <c r="Z35" s="12"/>
    </row>
    <row r="36">
      <c r="A36" s="20" t="s">
        <v>1256</v>
      </c>
      <c r="B36" s="23" t="s">
        <v>1258</v>
      </c>
      <c r="C36" s="25" t="s">
        <v>1262</v>
      </c>
      <c r="D36" s="30" t="s">
        <v>1222</v>
      </c>
      <c r="E36" s="25" t="s">
        <v>1267</v>
      </c>
      <c r="F36" s="25" t="s">
        <v>1269</v>
      </c>
      <c r="G36" s="25" t="s">
        <v>1273</v>
      </c>
      <c r="H36" s="25" t="s">
        <v>30</v>
      </c>
      <c r="I36" s="25" t="s">
        <v>30</v>
      </c>
      <c r="J36" s="30" t="s">
        <v>1278</v>
      </c>
      <c r="K36" s="25" t="s">
        <v>1153</v>
      </c>
      <c r="L36" s="25" t="s">
        <v>1284</v>
      </c>
      <c r="M36" s="41" t="s">
        <v>1288</v>
      </c>
      <c r="N36" s="12"/>
      <c r="O36" s="12"/>
      <c r="P36" s="12"/>
      <c r="Q36" s="12"/>
      <c r="R36" s="12"/>
      <c r="S36" s="12"/>
      <c r="T36" s="12"/>
      <c r="U36" s="12"/>
      <c r="V36" s="12"/>
      <c r="W36" s="12"/>
      <c r="X36" s="12"/>
      <c r="Y36" s="12"/>
      <c r="Z36" s="12"/>
    </row>
    <row r="37">
      <c r="A37" s="20" t="s">
        <v>1303</v>
      </c>
      <c r="B37" s="23" t="s">
        <v>1307</v>
      </c>
      <c r="C37" s="25" t="s">
        <v>1309</v>
      </c>
      <c r="D37" s="30" t="s">
        <v>57</v>
      </c>
      <c r="E37" s="25" t="s">
        <v>1313</v>
      </c>
      <c r="F37" s="25" t="s">
        <v>1315</v>
      </c>
      <c r="G37" s="25" t="s">
        <v>1318</v>
      </c>
      <c r="H37" s="25" t="s">
        <v>1320</v>
      </c>
      <c r="I37" s="25" t="s">
        <v>30</v>
      </c>
      <c r="J37" s="30" t="s">
        <v>273</v>
      </c>
      <c r="K37" s="25" t="s">
        <v>1325</v>
      </c>
      <c r="L37" s="25" t="s">
        <v>1328</v>
      </c>
      <c r="M37" s="41" t="s">
        <v>1332</v>
      </c>
      <c r="N37" s="12"/>
      <c r="O37" s="12"/>
      <c r="P37" s="12"/>
      <c r="Q37" s="12"/>
      <c r="R37" s="12"/>
      <c r="S37" s="12"/>
      <c r="T37" s="12"/>
      <c r="U37" s="12"/>
      <c r="V37" s="12"/>
      <c r="W37" s="12"/>
      <c r="X37" s="12"/>
      <c r="Y37" s="12"/>
      <c r="Z37" s="12"/>
    </row>
    <row r="38">
      <c r="A38" s="20" t="s">
        <v>1343</v>
      </c>
      <c r="B38" s="23" t="s">
        <v>1344</v>
      </c>
      <c r="C38" s="25" t="s">
        <v>1346</v>
      </c>
      <c r="D38" s="30" t="s">
        <v>1347</v>
      </c>
      <c r="E38" s="25" t="s">
        <v>1349</v>
      </c>
      <c r="F38" s="25" t="s">
        <v>30</v>
      </c>
      <c r="G38" s="25" t="s">
        <v>30</v>
      </c>
      <c r="H38" s="25" t="s">
        <v>30</v>
      </c>
      <c r="I38" s="25" t="s">
        <v>30</v>
      </c>
      <c r="J38" s="30" t="s">
        <v>1352</v>
      </c>
      <c r="K38" s="25" t="s">
        <v>1355</v>
      </c>
      <c r="L38" s="25" t="s">
        <v>1357</v>
      </c>
      <c r="M38" s="41" t="s">
        <v>1360</v>
      </c>
      <c r="N38" s="12"/>
      <c r="O38" s="12"/>
      <c r="P38" s="12"/>
      <c r="Q38" s="12"/>
      <c r="R38" s="12"/>
      <c r="S38" s="12"/>
      <c r="T38" s="12"/>
      <c r="U38" s="12"/>
      <c r="V38" s="12"/>
      <c r="W38" s="12"/>
      <c r="X38" s="12"/>
      <c r="Y38" s="12"/>
      <c r="Z38" s="12"/>
    </row>
    <row r="39">
      <c r="A39" s="70" t="s">
        <v>1414</v>
      </c>
      <c r="B39" s="71" t="s">
        <v>1431</v>
      </c>
      <c r="C39" s="72" t="s">
        <v>1444</v>
      </c>
      <c r="D39" s="73" t="s">
        <v>1222</v>
      </c>
      <c r="E39" s="72" t="s">
        <v>1456</v>
      </c>
      <c r="F39" s="72" t="s">
        <v>1459</v>
      </c>
      <c r="G39" s="72" t="s">
        <v>1463</v>
      </c>
      <c r="H39" s="72" t="s">
        <v>1466</v>
      </c>
      <c r="I39" s="72" t="s">
        <v>30</v>
      </c>
      <c r="J39" s="73" t="s">
        <v>1471</v>
      </c>
      <c r="K39" s="72" t="s">
        <v>1153</v>
      </c>
      <c r="L39" s="72" t="s">
        <v>1474</v>
      </c>
      <c r="M39" s="74" t="s">
        <v>1481</v>
      </c>
      <c r="N39" s="12"/>
      <c r="O39" s="12"/>
      <c r="P39" s="12"/>
      <c r="Q39" s="12"/>
      <c r="R39" s="12"/>
      <c r="S39" s="12"/>
      <c r="T39" s="12"/>
      <c r="U39" s="12"/>
      <c r="V39" s="12"/>
      <c r="W39" s="12"/>
      <c r="X39" s="12"/>
      <c r="Y39" s="12"/>
      <c r="Z39" s="12"/>
    </row>
    <row r="40">
      <c r="A40" s="76" t="s">
        <v>1497</v>
      </c>
      <c r="B40" s="77" t="s">
        <v>1506</v>
      </c>
      <c r="C40" s="78" t="s">
        <v>1513</v>
      </c>
      <c r="D40" s="79" t="s">
        <v>752</v>
      </c>
      <c r="E40" s="78" t="s">
        <v>1530</v>
      </c>
      <c r="F40" s="78" t="s">
        <v>1534</v>
      </c>
      <c r="G40" s="78" t="s">
        <v>1555</v>
      </c>
      <c r="H40" s="78" t="s">
        <v>30</v>
      </c>
      <c r="I40" s="78" t="s">
        <v>30</v>
      </c>
      <c r="J40" s="79" t="s">
        <v>273</v>
      </c>
      <c r="K40" s="78" t="s">
        <v>1568</v>
      </c>
      <c r="L40" s="78" t="s">
        <v>1573</v>
      </c>
      <c r="M40" s="78" t="s">
        <v>1582</v>
      </c>
      <c r="N40" s="12"/>
      <c r="O40" s="12"/>
      <c r="P40" s="12"/>
      <c r="Q40" s="12"/>
      <c r="R40" s="12"/>
      <c r="S40" s="12"/>
      <c r="T40" s="12"/>
      <c r="U40" s="12"/>
      <c r="V40" s="12"/>
      <c r="W40" s="12"/>
      <c r="X40" s="12"/>
      <c r="Y40" s="12"/>
      <c r="Z40" s="12"/>
    </row>
    <row r="41">
      <c r="A41" s="80" t="s">
        <v>1597</v>
      </c>
      <c r="B41" s="80" t="s">
        <v>1602</v>
      </c>
      <c r="C41" s="80" t="s">
        <v>1606</v>
      </c>
      <c r="D41" s="80" t="s">
        <v>57</v>
      </c>
      <c r="E41" s="80" t="s">
        <v>1612</v>
      </c>
      <c r="F41" s="80" t="s">
        <v>1615</v>
      </c>
      <c r="G41" s="80" t="s">
        <v>1619</v>
      </c>
      <c r="H41" s="80" t="s">
        <v>30</v>
      </c>
      <c r="I41" s="80" t="s">
        <v>30</v>
      </c>
      <c r="J41" s="80" t="s">
        <v>273</v>
      </c>
      <c r="K41" s="12"/>
      <c r="L41" s="12"/>
      <c r="M41" s="12"/>
      <c r="N41" s="12"/>
      <c r="O41" s="12"/>
      <c r="P41" s="12"/>
      <c r="Q41" s="12"/>
      <c r="R41" s="12"/>
      <c r="S41" s="12"/>
      <c r="T41" s="12"/>
      <c r="U41" s="12"/>
      <c r="V41" s="12"/>
      <c r="W41" s="12"/>
      <c r="X41" s="12"/>
      <c r="Y41" s="12"/>
      <c r="Z41" s="12"/>
    </row>
    <row r="42">
      <c r="A42" s="80" t="s">
        <v>1638</v>
      </c>
      <c r="B42" s="80" t="s">
        <v>1639</v>
      </c>
      <c r="C42" s="80" t="s">
        <v>1642</v>
      </c>
      <c r="D42" s="80" t="s">
        <v>752</v>
      </c>
      <c r="E42" s="80" t="s">
        <v>1644</v>
      </c>
      <c r="F42" s="80" t="s">
        <v>1646</v>
      </c>
      <c r="G42" s="80" t="s">
        <v>1649</v>
      </c>
      <c r="H42" s="80" t="s">
        <v>30</v>
      </c>
      <c r="I42" s="80" t="s">
        <v>30</v>
      </c>
      <c r="J42" s="80" t="s">
        <v>273</v>
      </c>
      <c r="K42" s="12"/>
      <c r="L42" s="12"/>
      <c r="M42" s="12"/>
      <c r="N42" s="12"/>
      <c r="O42" s="12"/>
      <c r="P42" s="12"/>
      <c r="Q42" s="12"/>
      <c r="R42" s="12"/>
      <c r="S42" s="12"/>
      <c r="T42" s="12"/>
      <c r="U42" s="12"/>
      <c r="V42" s="12"/>
      <c r="W42" s="12"/>
      <c r="X42" s="12"/>
      <c r="Y42" s="12"/>
      <c r="Z42" s="12"/>
    </row>
    <row r="43">
      <c r="A43" s="80" t="s">
        <v>1659</v>
      </c>
      <c r="B43" s="80" t="s">
        <v>1660</v>
      </c>
      <c r="C43" s="80" t="s">
        <v>1661</v>
      </c>
      <c r="D43" s="80" t="s">
        <v>57</v>
      </c>
      <c r="E43" s="80" t="s">
        <v>1663</v>
      </c>
      <c r="F43" s="80" t="s">
        <v>1664</v>
      </c>
      <c r="G43" s="80" t="s">
        <v>1665</v>
      </c>
      <c r="H43" s="80" t="s">
        <v>30</v>
      </c>
      <c r="I43" s="80" t="s">
        <v>30</v>
      </c>
      <c r="J43" s="80" t="s">
        <v>273</v>
      </c>
      <c r="K43" s="12"/>
      <c r="L43" s="12"/>
      <c r="M43" s="12"/>
      <c r="N43" s="12"/>
      <c r="O43" s="12"/>
      <c r="P43" s="12"/>
      <c r="Q43" s="12"/>
      <c r="R43" s="12"/>
      <c r="S43" s="12"/>
      <c r="T43" s="12"/>
      <c r="U43" s="12"/>
      <c r="V43" s="12"/>
      <c r="W43" s="12"/>
      <c r="X43" s="12"/>
      <c r="Y43" s="12"/>
      <c r="Z43" s="12"/>
    </row>
    <row r="44">
      <c r="A44" s="80" t="s">
        <v>1673</v>
      </c>
      <c r="B44" s="80" t="s">
        <v>1675</v>
      </c>
      <c r="C44" s="80" t="s">
        <v>1676</v>
      </c>
      <c r="D44" s="80" t="s">
        <v>57</v>
      </c>
      <c r="E44" s="80" t="s">
        <v>1678</v>
      </c>
      <c r="F44" s="80" t="s">
        <v>1680</v>
      </c>
      <c r="G44" s="80" t="s">
        <v>1684</v>
      </c>
      <c r="H44" s="80" t="s">
        <v>1685</v>
      </c>
      <c r="I44" s="80" t="s">
        <v>1686</v>
      </c>
      <c r="J44" s="80" t="s">
        <v>80</v>
      </c>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27.63"/>
    <col customWidth="1" min="3" max="3" width="66.63"/>
    <col customWidth="1" min="4" max="4" width="20.13"/>
    <col customWidth="1" min="5" max="5" width="45.13"/>
    <col customWidth="1" min="6" max="6" width="42.63"/>
    <col customWidth="1" min="7" max="7" width="35.13"/>
    <col customWidth="1" min="8" max="8" width="27.63"/>
    <col customWidth="1" min="9" max="9" width="25.13"/>
    <col customWidth="1" min="10" max="10" width="187.75"/>
    <col customWidth="1" min="11" max="11" width="29.63"/>
    <col customWidth="1" min="12" max="12" width="37.63"/>
    <col customWidth="1" min="13" max="13" width="154.63"/>
  </cols>
  <sheetData>
    <row r="1" ht="27.0" customHeight="1">
      <c r="A1" s="60" t="s">
        <v>0</v>
      </c>
      <c r="B1" s="60" t="s">
        <v>902</v>
      </c>
      <c r="C1" s="60" t="s">
        <v>906</v>
      </c>
      <c r="D1" s="60" t="s">
        <v>908</v>
      </c>
      <c r="E1" s="60" t="s">
        <v>911</v>
      </c>
      <c r="F1" s="60" t="s">
        <v>915</v>
      </c>
      <c r="G1" s="60" t="s">
        <v>918</v>
      </c>
      <c r="H1" s="60" t="s">
        <v>921</v>
      </c>
      <c r="I1" s="60" t="s">
        <v>923</v>
      </c>
      <c r="J1" s="60" t="s">
        <v>926</v>
      </c>
      <c r="K1" s="60" t="s">
        <v>927</v>
      </c>
      <c r="L1" s="60" t="s">
        <v>930</v>
      </c>
      <c r="M1" s="60" t="s">
        <v>931</v>
      </c>
    </row>
    <row r="2">
      <c r="A2" s="61" t="s">
        <v>936</v>
      </c>
      <c r="B2" s="61" t="s">
        <v>940</v>
      </c>
      <c r="C2" s="62" t="s">
        <v>945</v>
      </c>
      <c r="D2" s="63" t="s">
        <v>69</v>
      </c>
      <c r="E2" s="64" t="s">
        <v>958</v>
      </c>
      <c r="F2" s="64" t="s">
        <v>961</v>
      </c>
      <c r="G2" s="62" t="s">
        <v>965</v>
      </c>
      <c r="H2" s="64" t="s">
        <v>30</v>
      </c>
      <c r="I2" s="62" t="s">
        <v>30</v>
      </c>
      <c r="J2" s="62" t="s">
        <v>969</v>
      </c>
      <c r="K2" s="62" t="s">
        <v>971</v>
      </c>
      <c r="L2" s="62" t="s">
        <v>973</v>
      </c>
      <c r="M2" s="62" t="s">
        <v>976</v>
      </c>
    </row>
    <row r="3">
      <c r="A3" s="61" t="s">
        <v>979</v>
      </c>
      <c r="B3" s="61" t="s">
        <v>981</v>
      </c>
      <c r="C3" s="62" t="s">
        <v>984</v>
      </c>
      <c r="D3" s="63" t="s">
        <v>69</v>
      </c>
      <c r="E3" s="64" t="s">
        <v>987</v>
      </c>
      <c r="F3" s="64" t="s">
        <v>998</v>
      </c>
      <c r="G3" s="62" t="s">
        <v>1001</v>
      </c>
      <c r="H3" s="64" t="s">
        <v>30</v>
      </c>
      <c r="I3" s="62" t="s">
        <v>30</v>
      </c>
      <c r="J3" s="62" t="s">
        <v>1005</v>
      </c>
      <c r="K3" s="62" t="s">
        <v>971</v>
      </c>
      <c r="L3" s="62" t="s">
        <v>1009</v>
      </c>
      <c r="M3" s="62" t="s">
        <v>1012</v>
      </c>
    </row>
    <row r="4">
      <c r="A4" s="61" t="s">
        <v>1014</v>
      </c>
      <c r="B4" s="61" t="s">
        <v>1016</v>
      </c>
      <c r="C4" s="62" t="s">
        <v>1018</v>
      </c>
      <c r="D4" s="63" t="s">
        <v>69</v>
      </c>
      <c r="E4" s="64" t="s">
        <v>1021</v>
      </c>
      <c r="F4" s="64" t="s">
        <v>1024</v>
      </c>
      <c r="G4" s="62" t="s">
        <v>1026</v>
      </c>
      <c r="H4" s="64" t="s">
        <v>30</v>
      </c>
      <c r="I4" s="62" t="s">
        <v>30</v>
      </c>
      <c r="J4" s="62" t="s">
        <v>1031</v>
      </c>
      <c r="K4" s="62" t="s">
        <v>971</v>
      </c>
      <c r="L4" s="62" t="s">
        <v>1009</v>
      </c>
      <c r="M4" s="62" t="s">
        <v>1035</v>
      </c>
    </row>
    <row r="5">
      <c r="A5" s="61" t="s">
        <v>1037</v>
      </c>
      <c r="B5" s="61" t="s">
        <v>1040</v>
      </c>
      <c r="C5" s="62" t="s">
        <v>1041</v>
      </c>
      <c r="D5" s="63" t="s">
        <v>1044</v>
      </c>
      <c r="E5" s="64" t="s">
        <v>1047</v>
      </c>
      <c r="F5" s="64" t="s">
        <v>1052</v>
      </c>
      <c r="G5" s="62" t="s">
        <v>1057</v>
      </c>
      <c r="H5" s="64" t="s">
        <v>30</v>
      </c>
      <c r="I5" s="62" t="s">
        <v>30</v>
      </c>
      <c r="J5" s="62" t="s">
        <v>1060</v>
      </c>
      <c r="K5" s="62" t="s">
        <v>1062</v>
      </c>
      <c r="L5" s="62" t="s">
        <v>1064</v>
      </c>
      <c r="M5" s="62" t="s">
        <v>1068</v>
      </c>
    </row>
    <row r="6">
      <c r="A6" s="61" t="s">
        <v>1069</v>
      </c>
      <c r="B6" s="61" t="s">
        <v>1071</v>
      </c>
      <c r="C6" s="62" t="s">
        <v>1073</v>
      </c>
      <c r="D6" s="63" t="s">
        <v>1074</v>
      </c>
      <c r="E6" s="64" t="s">
        <v>1076</v>
      </c>
      <c r="F6" s="64" t="s">
        <v>1080</v>
      </c>
      <c r="G6" s="62" t="s">
        <v>1082</v>
      </c>
      <c r="H6" s="64" t="s">
        <v>30</v>
      </c>
      <c r="I6" s="62" t="s">
        <v>1086</v>
      </c>
      <c r="J6" s="62" t="s">
        <v>1087</v>
      </c>
      <c r="K6" s="62" t="s">
        <v>310</v>
      </c>
      <c r="L6" s="62" t="s">
        <v>1090</v>
      </c>
      <c r="M6" s="62" t="s">
        <v>1092</v>
      </c>
    </row>
    <row r="7">
      <c r="A7" s="61" t="s">
        <v>1094</v>
      </c>
      <c r="B7" s="61" t="s">
        <v>1096</v>
      </c>
      <c r="C7" s="62" t="s">
        <v>1098</v>
      </c>
      <c r="D7" s="63" t="s">
        <v>69</v>
      </c>
      <c r="E7" s="64" t="s">
        <v>30</v>
      </c>
      <c r="F7" s="64" t="s">
        <v>1102</v>
      </c>
      <c r="G7" s="62" t="s">
        <v>30</v>
      </c>
      <c r="H7" s="64" t="s">
        <v>1104</v>
      </c>
      <c r="I7" s="62" t="s">
        <v>30</v>
      </c>
      <c r="J7" s="62" t="s">
        <v>30</v>
      </c>
      <c r="K7" s="62" t="s">
        <v>1106</v>
      </c>
      <c r="L7" s="62" t="s">
        <v>1108</v>
      </c>
      <c r="M7" s="62" t="s">
        <v>1109</v>
      </c>
    </row>
    <row r="8">
      <c r="A8" s="61" t="s">
        <v>1111</v>
      </c>
      <c r="B8" s="61" t="s">
        <v>1112</v>
      </c>
      <c r="C8" s="62" t="s">
        <v>1115</v>
      </c>
      <c r="D8" s="63" t="s">
        <v>26</v>
      </c>
      <c r="E8" s="64" t="s">
        <v>1117</v>
      </c>
      <c r="F8" s="64" t="s">
        <v>1119</v>
      </c>
      <c r="G8" s="62" t="s">
        <v>1122</v>
      </c>
      <c r="H8" s="64" t="s">
        <v>1126</v>
      </c>
      <c r="I8" s="62" t="s">
        <v>1128</v>
      </c>
      <c r="J8" s="62" t="s">
        <v>1134</v>
      </c>
      <c r="K8" s="62" t="s">
        <v>1135</v>
      </c>
      <c r="L8" s="62" t="s">
        <v>1139</v>
      </c>
      <c r="M8" s="62" t="s">
        <v>1143</v>
      </c>
    </row>
    <row r="9">
      <c r="A9" s="61" t="s">
        <v>1145</v>
      </c>
      <c r="B9" s="61" t="s">
        <v>1147</v>
      </c>
      <c r="C9" s="62" t="s">
        <v>1151</v>
      </c>
      <c r="D9" s="63" t="s">
        <v>69</v>
      </c>
      <c r="E9" s="64" t="s">
        <v>1154</v>
      </c>
      <c r="F9" s="64" t="s">
        <v>1157</v>
      </c>
      <c r="G9" s="62" t="s">
        <v>1158</v>
      </c>
      <c r="H9" s="64" t="s">
        <v>30</v>
      </c>
      <c r="I9" s="62" t="s">
        <v>30</v>
      </c>
      <c r="J9" s="62" t="s">
        <v>1161</v>
      </c>
      <c r="K9" s="62" t="s">
        <v>1163</v>
      </c>
      <c r="L9" s="62" t="s">
        <v>1164</v>
      </c>
      <c r="M9" s="62" t="s">
        <v>1166</v>
      </c>
    </row>
    <row r="10">
      <c r="A10" s="61" t="s">
        <v>1168</v>
      </c>
      <c r="B10" s="61" t="s">
        <v>1169</v>
      </c>
      <c r="C10" s="62" t="s">
        <v>1171</v>
      </c>
      <c r="D10" s="63" t="s">
        <v>69</v>
      </c>
      <c r="E10" s="64" t="s">
        <v>987</v>
      </c>
      <c r="F10" s="64" t="s">
        <v>1179</v>
      </c>
      <c r="G10" s="62" t="s">
        <v>1181</v>
      </c>
      <c r="H10" s="64" t="s">
        <v>30</v>
      </c>
      <c r="I10" s="62" t="s">
        <v>30</v>
      </c>
      <c r="J10" s="62" t="s">
        <v>1186</v>
      </c>
      <c r="K10" s="62" t="s">
        <v>1190</v>
      </c>
      <c r="L10" s="62" t="s">
        <v>1191</v>
      </c>
      <c r="M10" s="62" t="s">
        <v>1193</v>
      </c>
    </row>
    <row r="11">
      <c r="A11" s="61" t="s">
        <v>1196</v>
      </c>
      <c r="B11" s="61" t="s">
        <v>1198</v>
      </c>
      <c r="C11" s="62" t="s">
        <v>1200</v>
      </c>
      <c r="D11" s="63" t="s">
        <v>26</v>
      </c>
      <c r="E11" s="64" t="s">
        <v>1203</v>
      </c>
      <c r="F11" s="64" t="s">
        <v>1207</v>
      </c>
      <c r="G11" s="62" t="s">
        <v>1210</v>
      </c>
      <c r="H11" s="64" t="s">
        <v>1211</v>
      </c>
      <c r="I11" s="62" t="s">
        <v>1213</v>
      </c>
      <c r="J11" s="62" t="s">
        <v>1217</v>
      </c>
      <c r="K11" s="62" t="s">
        <v>1219</v>
      </c>
      <c r="L11" s="62" t="s">
        <v>1221</v>
      </c>
      <c r="M11" s="62" t="s">
        <v>1224</v>
      </c>
    </row>
    <row r="12">
      <c r="A12" s="61" t="s">
        <v>1226</v>
      </c>
      <c r="B12" s="61" t="s">
        <v>1228</v>
      </c>
      <c r="C12" s="62" t="s">
        <v>1231</v>
      </c>
      <c r="D12" s="63" t="s">
        <v>153</v>
      </c>
      <c r="E12" s="64" t="s">
        <v>1233</v>
      </c>
      <c r="F12" s="64" t="s">
        <v>1237</v>
      </c>
      <c r="G12" s="62" t="s">
        <v>1239</v>
      </c>
      <c r="H12" s="64" t="s">
        <v>30</v>
      </c>
      <c r="I12" s="62" t="s">
        <v>30</v>
      </c>
      <c r="J12" s="62" t="s">
        <v>1245</v>
      </c>
      <c r="K12" s="62" t="s">
        <v>1247</v>
      </c>
      <c r="L12" s="62" t="s">
        <v>1250</v>
      </c>
      <c r="M12" s="62" t="s">
        <v>1251</v>
      </c>
    </row>
    <row r="13">
      <c r="A13" s="61" t="s">
        <v>1252</v>
      </c>
      <c r="B13" s="61" t="s">
        <v>1255</v>
      </c>
      <c r="C13" s="62" t="s">
        <v>1259</v>
      </c>
      <c r="D13" s="63" t="s">
        <v>26</v>
      </c>
      <c r="E13" s="64" t="s">
        <v>1261</v>
      </c>
      <c r="F13" s="64" t="s">
        <v>1263</v>
      </c>
      <c r="G13" s="62" t="s">
        <v>1265</v>
      </c>
      <c r="H13" s="64" t="s">
        <v>30</v>
      </c>
      <c r="I13" s="62" t="s">
        <v>1268</v>
      </c>
      <c r="J13" s="62" t="s">
        <v>1270</v>
      </c>
      <c r="K13" s="62" t="s">
        <v>1272</v>
      </c>
      <c r="L13" s="62" t="s">
        <v>1275</v>
      </c>
      <c r="M13" s="62" t="s">
        <v>1277</v>
      </c>
    </row>
    <row r="14">
      <c r="A14" s="61" t="s">
        <v>1280</v>
      </c>
      <c r="B14" s="61" t="s">
        <v>1282</v>
      </c>
      <c r="C14" s="62" t="s">
        <v>1283</v>
      </c>
      <c r="D14" s="63" t="s">
        <v>26</v>
      </c>
      <c r="E14" s="64" t="s">
        <v>1287</v>
      </c>
      <c r="F14" s="64" t="s">
        <v>1290</v>
      </c>
      <c r="G14" s="62" t="s">
        <v>1293</v>
      </c>
      <c r="H14" s="64" t="s">
        <v>1211</v>
      </c>
      <c r="I14" s="62" t="s">
        <v>1213</v>
      </c>
      <c r="J14" s="62" t="s">
        <v>1300</v>
      </c>
      <c r="K14" s="62" t="s">
        <v>1302</v>
      </c>
      <c r="L14" s="62" t="s">
        <v>1306</v>
      </c>
      <c r="M14" s="62" t="s">
        <v>1311</v>
      </c>
    </row>
    <row r="15">
      <c r="A15" s="61" t="s">
        <v>1314</v>
      </c>
      <c r="B15" s="61" t="s">
        <v>1316</v>
      </c>
      <c r="C15" s="62" t="s">
        <v>1319</v>
      </c>
      <c r="D15" s="63" t="s">
        <v>69</v>
      </c>
      <c r="E15" s="64" t="s">
        <v>1154</v>
      </c>
      <c r="F15" s="64" t="s">
        <v>1327</v>
      </c>
      <c r="G15" s="62" t="s">
        <v>1158</v>
      </c>
      <c r="H15" s="64" t="s">
        <v>30</v>
      </c>
      <c r="I15" s="62" t="s">
        <v>30</v>
      </c>
      <c r="J15" s="62" t="s">
        <v>1335</v>
      </c>
      <c r="K15" s="62" t="s">
        <v>1336</v>
      </c>
      <c r="L15" s="62" t="s">
        <v>1337</v>
      </c>
      <c r="M15" s="62" t="s">
        <v>1340</v>
      </c>
    </row>
    <row r="16">
      <c r="A16" s="61" t="s">
        <v>1341</v>
      </c>
      <c r="B16" s="61" t="s">
        <v>1342</v>
      </c>
      <c r="C16" s="62" t="s">
        <v>1345</v>
      </c>
      <c r="D16" s="63" t="s">
        <v>26</v>
      </c>
      <c r="E16" s="64" t="s">
        <v>1261</v>
      </c>
      <c r="F16" s="64" t="s">
        <v>1263</v>
      </c>
      <c r="G16" s="62" t="s">
        <v>1350</v>
      </c>
      <c r="H16" s="64" t="s">
        <v>30</v>
      </c>
      <c r="I16" s="62" t="s">
        <v>1351</v>
      </c>
      <c r="J16" s="62" t="s">
        <v>1353</v>
      </c>
      <c r="K16" s="62" t="s">
        <v>1354</v>
      </c>
      <c r="L16" s="62" t="s">
        <v>1356</v>
      </c>
      <c r="M16" s="62" t="s">
        <v>1359</v>
      </c>
    </row>
    <row r="17">
      <c r="A17" s="61" t="s">
        <v>1361</v>
      </c>
      <c r="B17" s="61" t="s">
        <v>1362</v>
      </c>
      <c r="C17" s="62" t="s">
        <v>1363</v>
      </c>
      <c r="D17" s="63" t="s">
        <v>69</v>
      </c>
      <c r="E17" s="64" t="s">
        <v>30</v>
      </c>
      <c r="F17" s="64" t="s">
        <v>1364</v>
      </c>
      <c r="G17" s="62" t="s">
        <v>1365</v>
      </c>
      <c r="H17" s="64" t="s">
        <v>30</v>
      </c>
      <c r="I17" s="62" t="s">
        <v>30</v>
      </c>
      <c r="J17" s="62" t="s">
        <v>1367</v>
      </c>
      <c r="K17" s="62" t="s">
        <v>1368</v>
      </c>
      <c r="L17" s="62" t="s">
        <v>1369</v>
      </c>
      <c r="M17" s="62" t="s">
        <v>1370</v>
      </c>
    </row>
    <row r="18">
      <c r="A18" s="61" t="s">
        <v>1371</v>
      </c>
      <c r="B18" s="61" t="s">
        <v>1372</v>
      </c>
      <c r="C18" s="62" t="s">
        <v>1373</v>
      </c>
      <c r="D18" s="63" t="s">
        <v>94</v>
      </c>
      <c r="E18" s="64" t="s">
        <v>1374</v>
      </c>
      <c r="F18" s="64" t="s">
        <v>1375</v>
      </c>
      <c r="G18" s="62" t="s">
        <v>1376</v>
      </c>
      <c r="H18" s="64" t="s">
        <v>30</v>
      </c>
      <c r="I18" s="62" t="s">
        <v>30</v>
      </c>
      <c r="J18" s="62" t="s">
        <v>1379</v>
      </c>
      <c r="K18" s="62" t="s">
        <v>1368</v>
      </c>
      <c r="L18" s="62" t="s">
        <v>1381</v>
      </c>
      <c r="M18" s="62" t="s">
        <v>1385</v>
      </c>
    </row>
    <row r="19">
      <c r="A19" s="61" t="s">
        <v>1386</v>
      </c>
      <c r="B19" s="61" t="s">
        <v>1387</v>
      </c>
      <c r="C19" s="62" t="s">
        <v>1389</v>
      </c>
      <c r="D19" s="63" t="s">
        <v>69</v>
      </c>
      <c r="E19" s="64" t="s">
        <v>1021</v>
      </c>
      <c r="F19" s="64" t="s">
        <v>1390</v>
      </c>
      <c r="G19" s="62" t="s">
        <v>1391</v>
      </c>
      <c r="H19" s="64" t="s">
        <v>30</v>
      </c>
      <c r="I19" s="62" t="s">
        <v>30</v>
      </c>
      <c r="J19" s="62" t="s">
        <v>1393</v>
      </c>
      <c r="K19" s="62" t="s">
        <v>1394</v>
      </c>
      <c r="L19" s="62" t="s">
        <v>1191</v>
      </c>
      <c r="M19" s="62" t="s">
        <v>1395</v>
      </c>
    </row>
    <row r="20">
      <c r="A20" s="61" t="s">
        <v>1396</v>
      </c>
      <c r="B20" s="61" t="s">
        <v>1397</v>
      </c>
      <c r="C20" s="62" t="s">
        <v>1398</v>
      </c>
      <c r="D20" s="63" t="s">
        <v>69</v>
      </c>
      <c r="E20" s="64" t="s">
        <v>987</v>
      </c>
      <c r="F20" s="64" t="s">
        <v>1399</v>
      </c>
      <c r="G20" s="62" t="s">
        <v>1400</v>
      </c>
      <c r="H20" s="64" t="s">
        <v>30</v>
      </c>
      <c r="I20" s="62" t="s">
        <v>30</v>
      </c>
      <c r="J20" s="62" t="s">
        <v>1401</v>
      </c>
      <c r="K20" s="62" t="s">
        <v>1394</v>
      </c>
      <c r="L20" s="62" t="s">
        <v>1191</v>
      </c>
      <c r="M20" s="62" t="s">
        <v>1402</v>
      </c>
    </row>
    <row r="21">
      <c r="A21" s="61" t="s">
        <v>1403</v>
      </c>
      <c r="B21" s="61" t="s">
        <v>1404</v>
      </c>
      <c r="C21" s="62" t="s">
        <v>1405</v>
      </c>
      <c r="D21" s="63" t="s">
        <v>1406</v>
      </c>
      <c r="E21" s="64" t="s">
        <v>1407</v>
      </c>
      <c r="F21" s="64" t="s">
        <v>1409</v>
      </c>
      <c r="G21" s="62" t="s">
        <v>1410</v>
      </c>
      <c r="H21" s="64" t="s">
        <v>30</v>
      </c>
      <c r="I21" s="62" t="s">
        <v>30</v>
      </c>
      <c r="J21" s="62" t="s">
        <v>1411</v>
      </c>
      <c r="K21" s="62" t="s">
        <v>1412</v>
      </c>
      <c r="L21" s="62" t="s">
        <v>1413</v>
      </c>
      <c r="M21" s="62" t="s">
        <v>1415</v>
      </c>
    </row>
    <row r="22">
      <c r="A22" s="61" t="s">
        <v>1416</v>
      </c>
      <c r="B22" s="61" t="s">
        <v>1417</v>
      </c>
      <c r="C22" s="62" t="s">
        <v>1418</v>
      </c>
      <c r="D22" s="63" t="s">
        <v>1419</v>
      </c>
      <c r="E22" s="64" t="s">
        <v>1420</v>
      </c>
      <c r="F22" s="64" t="s">
        <v>30</v>
      </c>
      <c r="G22" s="62" t="s">
        <v>1421</v>
      </c>
      <c r="H22" s="64" t="s">
        <v>30</v>
      </c>
      <c r="I22" s="62" t="s">
        <v>1422</v>
      </c>
      <c r="J22" s="62" t="s">
        <v>1423</v>
      </c>
      <c r="K22" s="62" t="s">
        <v>1424</v>
      </c>
      <c r="L22" s="62" t="s">
        <v>1425</v>
      </c>
      <c r="M22" s="62" t="s">
        <v>1427</v>
      </c>
    </row>
    <row r="23">
      <c r="A23" s="61" t="s">
        <v>1428</v>
      </c>
      <c r="B23" s="61" t="s">
        <v>1430</v>
      </c>
      <c r="C23" s="62" t="s">
        <v>1432</v>
      </c>
      <c r="D23" s="63" t="s">
        <v>1419</v>
      </c>
      <c r="E23" s="64" t="s">
        <v>1434</v>
      </c>
      <c r="F23" s="64" t="s">
        <v>30</v>
      </c>
      <c r="G23" s="62" t="s">
        <v>1436</v>
      </c>
      <c r="H23" s="64" t="s">
        <v>1437</v>
      </c>
      <c r="I23" s="62" t="s">
        <v>1438</v>
      </c>
      <c r="J23" s="62" t="s">
        <v>1439</v>
      </c>
      <c r="K23" s="62" t="s">
        <v>1424</v>
      </c>
      <c r="L23" s="62" t="s">
        <v>1425</v>
      </c>
      <c r="M23" s="62" t="s">
        <v>1440</v>
      </c>
    </row>
    <row r="24">
      <c r="A24" s="61" t="s">
        <v>1441</v>
      </c>
      <c r="B24" s="61" t="s">
        <v>1442</v>
      </c>
      <c r="C24" s="62" t="s">
        <v>1443</v>
      </c>
      <c r="D24" s="63" t="s">
        <v>1419</v>
      </c>
      <c r="E24" s="64" t="s">
        <v>1445</v>
      </c>
      <c r="F24" s="64" t="s">
        <v>30</v>
      </c>
      <c r="G24" s="62" t="s">
        <v>1446</v>
      </c>
      <c r="H24" s="64" t="s">
        <v>30</v>
      </c>
      <c r="I24" s="62" t="s">
        <v>1447</v>
      </c>
      <c r="J24" s="62" t="s">
        <v>1448</v>
      </c>
      <c r="K24" s="62" t="s">
        <v>1424</v>
      </c>
      <c r="L24" s="62" t="s">
        <v>1425</v>
      </c>
      <c r="M24" s="62" t="s">
        <v>1449</v>
      </c>
    </row>
    <row r="25">
      <c r="A25" s="61" t="s">
        <v>1451</v>
      </c>
      <c r="B25" s="61" t="s">
        <v>1452</v>
      </c>
      <c r="C25" s="62" t="s">
        <v>1454</v>
      </c>
      <c r="D25" s="63" t="s">
        <v>1419</v>
      </c>
      <c r="E25" s="64" t="s">
        <v>1457</v>
      </c>
      <c r="F25" s="64" t="s">
        <v>30</v>
      </c>
      <c r="G25" s="62" t="s">
        <v>1458</v>
      </c>
      <c r="H25" s="64" t="s">
        <v>1460</v>
      </c>
      <c r="I25" s="62" t="s">
        <v>1462</v>
      </c>
      <c r="J25" s="62" t="s">
        <v>1464</v>
      </c>
      <c r="K25" s="62" t="s">
        <v>1424</v>
      </c>
      <c r="L25" s="62" t="s">
        <v>1467</v>
      </c>
      <c r="M25" s="62" t="s">
        <v>1468</v>
      </c>
    </row>
    <row r="26">
      <c r="A26" s="61" t="s">
        <v>1469</v>
      </c>
      <c r="B26" s="61" t="s">
        <v>1470</v>
      </c>
      <c r="C26" s="62" t="s">
        <v>1472</v>
      </c>
      <c r="D26" s="63" t="s">
        <v>1419</v>
      </c>
      <c r="E26" s="64" t="s">
        <v>1473</v>
      </c>
      <c r="F26" s="64" t="s">
        <v>30</v>
      </c>
      <c r="G26" s="62" t="s">
        <v>30</v>
      </c>
      <c r="H26" s="64" t="s">
        <v>30</v>
      </c>
      <c r="I26" s="62" t="s">
        <v>30</v>
      </c>
      <c r="J26" s="62" t="s">
        <v>1475</v>
      </c>
      <c r="K26" s="62" t="s">
        <v>1424</v>
      </c>
      <c r="L26" s="62" t="s">
        <v>1476</v>
      </c>
      <c r="M26" s="62" t="s">
        <v>1477</v>
      </c>
    </row>
    <row r="27">
      <c r="A27" s="61" t="s">
        <v>1478</v>
      </c>
      <c r="B27" s="61" t="s">
        <v>1479</v>
      </c>
      <c r="C27" s="62" t="s">
        <v>1480</v>
      </c>
      <c r="D27" s="63" t="s">
        <v>1482</v>
      </c>
      <c r="E27" s="64" t="s">
        <v>1484</v>
      </c>
      <c r="F27" s="64" t="s">
        <v>1485</v>
      </c>
      <c r="G27" s="62" t="s">
        <v>1487</v>
      </c>
      <c r="H27" s="64" t="s">
        <v>1488</v>
      </c>
      <c r="I27" s="62" t="s">
        <v>1489</v>
      </c>
      <c r="J27" s="62" t="s">
        <v>1490</v>
      </c>
      <c r="K27" s="62" t="s">
        <v>310</v>
      </c>
      <c r="L27" s="62" t="s">
        <v>1491</v>
      </c>
      <c r="M27" s="62" t="s">
        <v>1492</v>
      </c>
    </row>
    <row r="28">
      <c r="A28" s="61" t="s">
        <v>1493</v>
      </c>
      <c r="B28" s="61" t="s">
        <v>1495</v>
      </c>
      <c r="C28" s="62" t="s">
        <v>1496</v>
      </c>
      <c r="D28" s="63" t="s">
        <v>1482</v>
      </c>
      <c r="E28" s="64" t="s">
        <v>1484</v>
      </c>
      <c r="F28" s="64" t="s">
        <v>1498</v>
      </c>
      <c r="G28" s="62" t="s">
        <v>1499</v>
      </c>
      <c r="H28" s="64" t="s">
        <v>1501</v>
      </c>
      <c r="I28" s="62" t="s">
        <v>30</v>
      </c>
      <c r="J28" s="62" t="s">
        <v>1503</v>
      </c>
      <c r="K28" s="62" t="s">
        <v>310</v>
      </c>
      <c r="L28" s="62" t="s">
        <v>30</v>
      </c>
      <c r="M28" s="62" t="s">
        <v>1507</v>
      </c>
    </row>
    <row r="29">
      <c r="A29" s="61" t="s">
        <v>1508</v>
      </c>
      <c r="B29" s="61" t="s">
        <v>1509</v>
      </c>
      <c r="C29" s="62" t="s">
        <v>1510</v>
      </c>
      <c r="D29" s="63" t="s">
        <v>1482</v>
      </c>
      <c r="E29" s="64" t="s">
        <v>1511</v>
      </c>
      <c r="F29" s="64" t="s">
        <v>1512</v>
      </c>
      <c r="G29" s="62" t="s">
        <v>1514</v>
      </c>
      <c r="H29" s="64" t="s">
        <v>30</v>
      </c>
      <c r="I29" s="62" t="s">
        <v>30</v>
      </c>
      <c r="J29" s="62" t="s">
        <v>1516</v>
      </c>
      <c r="K29" s="62" t="s">
        <v>310</v>
      </c>
      <c r="L29" s="62" t="s">
        <v>30</v>
      </c>
      <c r="M29" s="62" t="s">
        <v>1517</v>
      </c>
    </row>
    <row r="30">
      <c r="A30" s="61" t="s">
        <v>1518</v>
      </c>
      <c r="B30" s="61" t="s">
        <v>1520</v>
      </c>
      <c r="C30" s="62" t="s">
        <v>1521</v>
      </c>
      <c r="D30" s="63" t="s">
        <v>1482</v>
      </c>
      <c r="E30" s="64" t="s">
        <v>1522</v>
      </c>
      <c r="F30" s="64" t="s">
        <v>1485</v>
      </c>
      <c r="G30" s="62" t="s">
        <v>1525</v>
      </c>
      <c r="H30" s="64" t="s">
        <v>30</v>
      </c>
      <c r="I30" s="62" t="s">
        <v>1526</v>
      </c>
      <c r="J30" s="62" t="s">
        <v>1528</v>
      </c>
      <c r="K30" s="62" t="s">
        <v>310</v>
      </c>
      <c r="L30" s="62" t="s">
        <v>1529</v>
      </c>
      <c r="M30" s="62" t="s">
        <v>1532</v>
      </c>
    </row>
    <row r="31">
      <c r="A31" s="61" t="s">
        <v>1535</v>
      </c>
      <c r="B31" s="61" t="s">
        <v>1536</v>
      </c>
      <c r="C31" s="62" t="s">
        <v>1537</v>
      </c>
      <c r="D31" s="63" t="s">
        <v>1538</v>
      </c>
      <c r="E31" s="64" t="s">
        <v>1539</v>
      </c>
      <c r="F31" s="64" t="s">
        <v>1540</v>
      </c>
      <c r="G31" s="62" t="s">
        <v>1541</v>
      </c>
      <c r="H31" s="64" t="s">
        <v>30</v>
      </c>
      <c r="I31" s="62" t="s">
        <v>1542</v>
      </c>
      <c r="J31" s="62" t="s">
        <v>1543</v>
      </c>
      <c r="K31" s="62" t="s">
        <v>1544</v>
      </c>
      <c r="L31" s="62" t="s">
        <v>1545</v>
      </c>
      <c r="M31" s="62" t="s">
        <v>1546</v>
      </c>
    </row>
    <row r="32">
      <c r="A32" s="61" t="s">
        <v>1547</v>
      </c>
      <c r="B32" s="61" t="s">
        <v>1548</v>
      </c>
      <c r="C32" s="62" t="s">
        <v>1549</v>
      </c>
      <c r="D32" s="63" t="s">
        <v>1538</v>
      </c>
      <c r="E32" s="64" t="s">
        <v>1550</v>
      </c>
      <c r="F32" s="64" t="s">
        <v>1540</v>
      </c>
      <c r="G32" s="62" t="s">
        <v>1552</v>
      </c>
      <c r="H32" s="64" t="s">
        <v>30</v>
      </c>
      <c r="I32" s="62" t="s">
        <v>1554</v>
      </c>
      <c r="J32" s="62" t="s">
        <v>1558</v>
      </c>
      <c r="K32" s="62" t="s">
        <v>1544</v>
      </c>
      <c r="L32" s="62" t="s">
        <v>1545</v>
      </c>
      <c r="M32" s="62" t="s">
        <v>1560</v>
      </c>
    </row>
    <row r="33">
      <c r="A33" s="61" t="s">
        <v>1562</v>
      </c>
      <c r="B33" s="61" t="s">
        <v>1563</v>
      </c>
      <c r="C33" s="62" t="s">
        <v>1564</v>
      </c>
      <c r="D33" s="63" t="s">
        <v>1538</v>
      </c>
      <c r="E33" s="64" t="s">
        <v>1566</v>
      </c>
      <c r="F33" s="64" t="s">
        <v>1540</v>
      </c>
      <c r="G33" s="62" t="s">
        <v>1570</v>
      </c>
      <c r="H33" s="64" t="s">
        <v>30</v>
      </c>
      <c r="I33" s="62" t="s">
        <v>1574</v>
      </c>
      <c r="J33" s="62" t="s">
        <v>1575</v>
      </c>
      <c r="K33" s="62" t="s">
        <v>1544</v>
      </c>
      <c r="L33" s="62" t="s">
        <v>1545</v>
      </c>
      <c r="M33" s="62" t="s">
        <v>1577</v>
      </c>
    </row>
    <row r="34">
      <c r="A34" s="61" t="s">
        <v>1579</v>
      </c>
      <c r="B34" s="61" t="s">
        <v>1581</v>
      </c>
      <c r="C34" s="62" t="s">
        <v>1583</v>
      </c>
      <c r="D34" s="63" t="s">
        <v>1538</v>
      </c>
      <c r="E34" s="64" t="s">
        <v>1585</v>
      </c>
      <c r="F34" s="64" t="s">
        <v>1540</v>
      </c>
      <c r="G34" s="62" t="s">
        <v>1587</v>
      </c>
      <c r="H34" s="64" t="s">
        <v>30</v>
      </c>
      <c r="I34" s="62" t="s">
        <v>1588</v>
      </c>
      <c r="J34" s="62" t="s">
        <v>1590</v>
      </c>
      <c r="K34" s="62" t="s">
        <v>1544</v>
      </c>
      <c r="L34" s="62" t="s">
        <v>1545</v>
      </c>
      <c r="M34" s="62" t="s">
        <v>1591</v>
      </c>
    </row>
    <row r="35">
      <c r="A35" s="61" t="s">
        <v>1592</v>
      </c>
      <c r="B35" s="61" t="s">
        <v>1593</v>
      </c>
      <c r="C35" s="62" t="s">
        <v>1594</v>
      </c>
      <c r="D35" s="63" t="s">
        <v>1599</v>
      </c>
      <c r="E35" s="64" t="s">
        <v>1601</v>
      </c>
      <c r="F35" s="64" t="s">
        <v>1603</v>
      </c>
      <c r="G35" s="62" t="s">
        <v>1605</v>
      </c>
      <c r="H35" s="64" t="s">
        <v>30</v>
      </c>
      <c r="I35" s="62" t="s">
        <v>30</v>
      </c>
      <c r="J35" s="62" t="s">
        <v>1608</v>
      </c>
      <c r="K35" s="62" t="s">
        <v>1609</v>
      </c>
      <c r="L35" s="62" t="s">
        <v>1610</v>
      </c>
      <c r="M35" s="62" t="s">
        <v>1613</v>
      </c>
    </row>
    <row r="36">
      <c r="A36" s="61" t="s">
        <v>1616</v>
      </c>
      <c r="B36" s="61" t="s">
        <v>1617</v>
      </c>
      <c r="C36" s="62" t="s">
        <v>1618</v>
      </c>
      <c r="D36" s="63" t="s">
        <v>1599</v>
      </c>
      <c r="E36" s="64" t="s">
        <v>987</v>
      </c>
      <c r="F36" s="64" t="s">
        <v>1624</v>
      </c>
      <c r="G36" s="62" t="s">
        <v>1410</v>
      </c>
      <c r="H36" s="64" t="s">
        <v>30</v>
      </c>
      <c r="I36" s="62" t="s">
        <v>30</v>
      </c>
      <c r="J36" s="62" t="s">
        <v>1628</v>
      </c>
      <c r="K36" s="62" t="s">
        <v>1609</v>
      </c>
      <c r="L36" s="62" t="s">
        <v>1631</v>
      </c>
      <c r="M36" s="62" t="s">
        <v>1634</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27.63"/>
    <col customWidth="1" min="3" max="3" width="45.13"/>
    <col customWidth="1" min="4" max="4" width="20.13"/>
    <col customWidth="1" min="5" max="5" width="45.13"/>
    <col customWidth="1" min="6" max="6" width="42.63"/>
    <col customWidth="1" min="7" max="7" width="35.13"/>
    <col customWidth="1" min="8" max="8" width="27.63"/>
    <col customWidth="1" min="9" max="9" width="25.13"/>
    <col customWidth="1" min="10" max="10" width="16.38"/>
    <col customWidth="1" min="11" max="11" width="22.63"/>
    <col customWidth="1" min="12" max="12" width="37.63"/>
    <col customWidth="1" min="13" max="13" width="52.63"/>
  </cols>
  <sheetData>
    <row r="1">
      <c r="A1" s="1" t="s">
        <v>1783</v>
      </c>
      <c r="B1" s="4" t="s">
        <v>2</v>
      </c>
      <c r="C1" s="4" t="s">
        <v>4</v>
      </c>
      <c r="D1" s="4" t="s">
        <v>5</v>
      </c>
      <c r="E1" s="4" t="s">
        <v>6</v>
      </c>
      <c r="F1" s="4" t="s">
        <v>7</v>
      </c>
      <c r="G1" s="4" t="s">
        <v>8</v>
      </c>
      <c r="H1" s="4" t="s">
        <v>9</v>
      </c>
      <c r="I1" s="4" t="s">
        <v>11</v>
      </c>
      <c r="J1" s="4" t="s">
        <v>12</v>
      </c>
      <c r="K1" s="4" t="s">
        <v>13</v>
      </c>
      <c r="L1" s="4" t="s">
        <v>14</v>
      </c>
      <c r="M1" s="8" t="s">
        <v>15</v>
      </c>
      <c r="N1" s="82"/>
      <c r="O1" s="82"/>
      <c r="P1" s="82"/>
      <c r="Q1" s="82"/>
      <c r="R1" s="82"/>
      <c r="S1" s="82"/>
      <c r="T1" s="82"/>
      <c r="U1" s="82"/>
      <c r="V1" s="82"/>
      <c r="W1" s="82"/>
      <c r="X1" s="82"/>
      <c r="Y1" s="82"/>
      <c r="Z1" s="82"/>
    </row>
    <row r="2">
      <c r="A2" s="20" t="s">
        <v>1787</v>
      </c>
      <c r="B2" s="23" t="s">
        <v>1788</v>
      </c>
      <c r="C2" s="25" t="s">
        <v>1791</v>
      </c>
      <c r="D2" s="30" t="s">
        <v>1793</v>
      </c>
      <c r="E2" s="25" t="s">
        <v>1795</v>
      </c>
      <c r="F2" s="25" t="s">
        <v>1796</v>
      </c>
      <c r="G2" s="25" t="s">
        <v>1797</v>
      </c>
      <c r="H2" s="25" t="s">
        <v>1798</v>
      </c>
      <c r="I2" s="25" t="s">
        <v>1799</v>
      </c>
      <c r="J2" s="30" t="s">
        <v>1800</v>
      </c>
      <c r="K2" s="25" t="s">
        <v>1801</v>
      </c>
      <c r="L2" s="25" t="s">
        <v>1802</v>
      </c>
      <c r="M2" s="41" t="s">
        <v>1803</v>
      </c>
    </row>
    <row r="3">
      <c r="A3" s="20" t="s">
        <v>1804</v>
      </c>
      <c r="B3" s="23" t="s">
        <v>1805</v>
      </c>
      <c r="C3" s="25" t="s">
        <v>1806</v>
      </c>
      <c r="D3" s="30" t="s">
        <v>1793</v>
      </c>
      <c r="E3" s="25" t="s">
        <v>1808</v>
      </c>
      <c r="F3" s="25" t="s">
        <v>1809</v>
      </c>
      <c r="G3" s="25" t="s">
        <v>1810</v>
      </c>
      <c r="H3" s="25" t="s">
        <v>1799</v>
      </c>
      <c r="I3" s="25" t="s">
        <v>1799</v>
      </c>
      <c r="J3" s="30" t="s">
        <v>1800</v>
      </c>
      <c r="K3" s="25" t="s">
        <v>1811</v>
      </c>
      <c r="L3" s="25" t="s">
        <v>1812</v>
      </c>
      <c r="M3" s="41" t="s">
        <v>1813</v>
      </c>
    </row>
    <row r="4">
      <c r="A4" s="20" t="s">
        <v>1814</v>
      </c>
      <c r="B4" s="23" t="s">
        <v>1815</v>
      </c>
      <c r="C4" s="25" t="s">
        <v>1817</v>
      </c>
      <c r="D4" s="30" t="s">
        <v>1819</v>
      </c>
      <c r="E4" s="25" t="s">
        <v>1820</v>
      </c>
      <c r="F4" s="25" t="s">
        <v>1822</v>
      </c>
      <c r="G4" s="25" t="s">
        <v>1823</v>
      </c>
      <c r="H4" s="25" t="s">
        <v>1799</v>
      </c>
      <c r="I4" s="25" t="s">
        <v>1799</v>
      </c>
      <c r="J4" s="30" t="s">
        <v>1799</v>
      </c>
      <c r="K4" s="25" t="s">
        <v>1825</v>
      </c>
      <c r="L4" s="25" t="s">
        <v>1826</v>
      </c>
      <c r="M4" s="41" t="s">
        <v>1827</v>
      </c>
    </row>
    <row r="5">
      <c r="A5" s="20" t="s">
        <v>1828</v>
      </c>
      <c r="B5" s="23" t="s">
        <v>1829</v>
      </c>
      <c r="C5" s="25" t="s">
        <v>1830</v>
      </c>
      <c r="D5" s="30" t="s">
        <v>1819</v>
      </c>
      <c r="E5" s="25" t="s">
        <v>1831</v>
      </c>
      <c r="F5" s="25" t="s">
        <v>1832</v>
      </c>
      <c r="G5" s="25" t="s">
        <v>1823</v>
      </c>
      <c r="H5" s="25" t="s">
        <v>1799</v>
      </c>
      <c r="I5" s="25" t="s">
        <v>1799</v>
      </c>
      <c r="J5" s="30" t="s">
        <v>1799</v>
      </c>
      <c r="K5" s="25" t="s">
        <v>1825</v>
      </c>
      <c r="L5" s="25" t="s">
        <v>1826</v>
      </c>
      <c r="M5" s="41" t="s">
        <v>1827</v>
      </c>
    </row>
    <row r="6">
      <c r="A6" s="20" t="s">
        <v>1834</v>
      </c>
      <c r="B6" s="23" t="s">
        <v>1835</v>
      </c>
      <c r="C6" s="25" t="s">
        <v>1836</v>
      </c>
      <c r="D6" s="30" t="s">
        <v>1819</v>
      </c>
      <c r="E6" s="25" t="s">
        <v>1837</v>
      </c>
      <c r="F6" s="25" t="s">
        <v>1838</v>
      </c>
      <c r="G6" s="25" t="s">
        <v>1839</v>
      </c>
      <c r="H6" s="25" t="s">
        <v>1799</v>
      </c>
      <c r="I6" s="25" t="s">
        <v>1799</v>
      </c>
      <c r="J6" s="30" t="s">
        <v>1799</v>
      </c>
      <c r="K6" s="25" t="s">
        <v>1811</v>
      </c>
      <c r="L6" s="25" t="s">
        <v>1840</v>
      </c>
      <c r="M6" s="41" t="s">
        <v>1841</v>
      </c>
    </row>
    <row r="7">
      <c r="A7" s="20" t="s">
        <v>1842</v>
      </c>
      <c r="B7" s="23" t="s">
        <v>1844</v>
      </c>
      <c r="C7" s="25" t="s">
        <v>1845</v>
      </c>
      <c r="D7" s="30" t="s">
        <v>1846</v>
      </c>
      <c r="E7" s="25" t="s">
        <v>1847</v>
      </c>
      <c r="F7" s="25" t="s">
        <v>1799</v>
      </c>
      <c r="G7" s="25" t="s">
        <v>1849</v>
      </c>
      <c r="H7" s="25" t="s">
        <v>1799</v>
      </c>
      <c r="I7" s="25" t="s">
        <v>1850</v>
      </c>
      <c r="J7" s="30" t="s">
        <v>1800</v>
      </c>
      <c r="K7" s="25" t="s">
        <v>1851</v>
      </c>
      <c r="L7" s="25" t="s">
        <v>1852</v>
      </c>
      <c r="M7" s="41" t="s">
        <v>1853</v>
      </c>
    </row>
    <row r="8">
      <c r="A8" s="20" t="s">
        <v>1854</v>
      </c>
      <c r="B8" s="23" t="s">
        <v>1855</v>
      </c>
      <c r="C8" s="25" t="s">
        <v>1856</v>
      </c>
      <c r="D8" s="30" t="s">
        <v>1846</v>
      </c>
      <c r="E8" s="25" t="s">
        <v>1857</v>
      </c>
      <c r="F8" s="25" t="s">
        <v>1799</v>
      </c>
      <c r="G8" s="25" t="s">
        <v>1858</v>
      </c>
      <c r="H8" s="25" t="s">
        <v>1799</v>
      </c>
      <c r="I8" s="25" t="s">
        <v>1850</v>
      </c>
      <c r="J8" s="30" t="s">
        <v>1800</v>
      </c>
      <c r="K8" s="25" t="s">
        <v>1851</v>
      </c>
      <c r="L8" s="25" t="s">
        <v>1859</v>
      </c>
      <c r="M8" s="41" t="s">
        <v>1861</v>
      </c>
    </row>
    <row r="9">
      <c r="A9" s="20" t="s">
        <v>1862</v>
      </c>
      <c r="B9" s="23" t="s">
        <v>1863</v>
      </c>
      <c r="C9" s="25" t="s">
        <v>1864</v>
      </c>
      <c r="D9" s="30" t="s">
        <v>1846</v>
      </c>
      <c r="E9" s="25" t="s">
        <v>1865</v>
      </c>
      <c r="F9" s="25" t="s">
        <v>1799</v>
      </c>
      <c r="G9" s="25" t="s">
        <v>1866</v>
      </c>
      <c r="H9" s="25" t="s">
        <v>1799</v>
      </c>
      <c r="I9" s="25" t="s">
        <v>1799</v>
      </c>
      <c r="J9" s="30" t="s">
        <v>1800</v>
      </c>
      <c r="K9" s="25" t="s">
        <v>1851</v>
      </c>
      <c r="L9" s="25" t="s">
        <v>1867</v>
      </c>
      <c r="M9" s="41" t="s">
        <v>1868</v>
      </c>
    </row>
    <row r="10">
      <c r="A10" s="20" t="s">
        <v>1869</v>
      </c>
      <c r="B10" s="23" t="s">
        <v>1870</v>
      </c>
      <c r="C10" s="25" t="s">
        <v>1872</v>
      </c>
      <c r="D10" s="30" t="s">
        <v>1846</v>
      </c>
      <c r="E10" s="25" t="s">
        <v>1874</v>
      </c>
      <c r="F10" s="25" t="s">
        <v>1799</v>
      </c>
      <c r="G10" s="25" t="s">
        <v>1875</v>
      </c>
      <c r="H10" s="25" t="s">
        <v>1799</v>
      </c>
      <c r="I10" s="25" t="s">
        <v>1877</v>
      </c>
      <c r="J10" s="30" t="s">
        <v>1800</v>
      </c>
      <c r="K10" s="25" t="s">
        <v>1851</v>
      </c>
      <c r="L10" s="25" t="s">
        <v>1878</v>
      </c>
      <c r="M10" s="41" t="s">
        <v>1879</v>
      </c>
    </row>
    <row r="11">
      <c r="A11" s="20" t="s">
        <v>1880</v>
      </c>
      <c r="B11" s="23" t="s">
        <v>1881</v>
      </c>
      <c r="C11" s="25" t="s">
        <v>1882</v>
      </c>
      <c r="D11" s="30" t="s">
        <v>1846</v>
      </c>
      <c r="E11" s="25" t="s">
        <v>1883</v>
      </c>
      <c r="F11" s="25" t="s">
        <v>1799</v>
      </c>
      <c r="G11" s="25" t="s">
        <v>1884</v>
      </c>
      <c r="H11" s="25" t="s">
        <v>1799</v>
      </c>
      <c r="I11" s="25" t="s">
        <v>1885</v>
      </c>
      <c r="J11" s="30" t="s">
        <v>1800</v>
      </c>
      <c r="K11" s="25" t="s">
        <v>1851</v>
      </c>
      <c r="L11" s="25" t="s">
        <v>1886</v>
      </c>
      <c r="M11" s="41" t="s">
        <v>1887</v>
      </c>
    </row>
    <row r="12">
      <c r="A12" s="20" t="s">
        <v>1888</v>
      </c>
      <c r="B12" s="23" t="s">
        <v>1889</v>
      </c>
      <c r="C12" s="25" t="s">
        <v>1891</v>
      </c>
      <c r="D12" s="30" t="s">
        <v>1793</v>
      </c>
      <c r="E12" s="25" t="s">
        <v>1892</v>
      </c>
      <c r="F12" s="25" t="s">
        <v>1893</v>
      </c>
      <c r="G12" s="25" t="s">
        <v>1799</v>
      </c>
      <c r="H12" s="25" t="s">
        <v>1799</v>
      </c>
      <c r="I12" s="25" t="s">
        <v>1885</v>
      </c>
      <c r="J12" s="30" t="s">
        <v>1800</v>
      </c>
      <c r="K12" s="25" t="s">
        <v>310</v>
      </c>
      <c r="L12" s="25" t="s">
        <v>1799</v>
      </c>
      <c r="M12" s="41" t="s">
        <v>1894</v>
      </c>
    </row>
    <row r="13">
      <c r="A13" s="20" t="s">
        <v>1895</v>
      </c>
      <c r="B13" s="23" t="s">
        <v>1896</v>
      </c>
      <c r="C13" s="25" t="s">
        <v>1897</v>
      </c>
      <c r="D13" s="30" t="s">
        <v>1819</v>
      </c>
      <c r="E13" s="25" t="s">
        <v>1899</v>
      </c>
      <c r="F13" s="25" t="s">
        <v>1900</v>
      </c>
      <c r="G13" s="25" t="s">
        <v>1902</v>
      </c>
      <c r="H13" s="25" t="s">
        <v>1903</v>
      </c>
      <c r="I13" s="25" t="s">
        <v>1799</v>
      </c>
      <c r="J13" s="30" t="s">
        <v>1799</v>
      </c>
      <c r="K13" s="25" t="s">
        <v>1905</v>
      </c>
      <c r="L13" s="25" t="s">
        <v>1906</v>
      </c>
      <c r="M13" s="41" t="s">
        <v>1907</v>
      </c>
    </row>
    <row r="14">
      <c r="A14" s="20" t="s">
        <v>1908</v>
      </c>
      <c r="B14" s="23" t="s">
        <v>1909</v>
      </c>
      <c r="C14" s="25" t="s">
        <v>1910</v>
      </c>
      <c r="D14" s="30" t="s">
        <v>1846</v>
      </c>
      <c r="E14" s="25" t="s">
        <v>1911</v>
      </c>
      <c r="F14" s="25" t="s">
        <v>1799</v>
      </c>
      <c r="G14" s="25" t="s">
        <v>1912</v>
      </c>
      <c r="H14" s="25" t="s">
        <v>1913</v>
      </c>
      <c r="I14" s="25" t="s">
        <v>1914</v>
      </c>
      <c r="J14" s="30" t="s">
        <v>1800</v>
      </c>
      <c r="K14" s="25" t="s">
        <v>1851</v>
      </c>
      <c r="L14" s="25" t="s">
        <v>1915</v>
      </c>
      <c r="M14" s="41" t="s">
        <v>1916</v>
      </c>
    </row>
    <row r="15">
      <c r="A15" s="20" t="s">
        <v>1917</v>
      </c>
      <c r="B15" s="23" t="s">
        <v>1918</v>
      </c>
      <c r="C15" s="25" t="s">
        <v>1919</v>
      </c>
      <c r="D15" s="30" t="s">
        <v>1793</v>
      </c>
      <c r="E15" s="25" t="s">
        <v>1921</v>
      </c>
      <c r="F15" s="25" t="s">
        <v>1922</v>
      </c>
      <c r="G15" s="25" t="s">
        <v>1923</v>
      </c>
      <c r="H15" s="25" t="s">
        <v>1799</v>
      </c>
      <c r="I15" s="25" t="s">
        <v>1799</v>
      </c>
      <c r="J15" s="30" t="s">
        <v>1800</v>
      </c>
      <c r="K15" s="25" t="s">
        <v>1801</v>
      </c>
      <c r="L15" s="25" t="s">
        <v>1925</v>
      </c>
      <c r="M15" s="41" t="s">
        <v>1926</v>
      </c>
    </row>
    <row r="16">
      <c r="A16" s="20" t="s">
        <v>1927</v>
      </c>
      <c r="B16" s="23" t="s">
        <v>1928</v>
      </c>
      <c r="C16" s="25" t="s">
        <v>1930</v>
      </c>
      <c r="D16" s="30" t="s">
        <v>1793</v>
      </c>
      <c r="E16" s="25" t="s">
        <v>1932</v>
      </c>
      <c r="F16" s="25" t="s">
        <v>1933</v>
      </c>
      <c r="G16" s="25" t="s">
        <v>1934</v>
      </c>
      <c r="H16" s="25" t="s">
        <v>1799</v>
      </c>
      <c r="I16" s="25" t="s">
        <v>1799</v>
      </c>
      <c r="J16" s="30" t="s">
        <v>1800</v>
      </c>
      <c r="K16" s="25" t="s">
        <v>1801</v>
      </c>
      <c r="L16" s="25" t="s">
        <v>1936</v>
      </c>
      <c r="M16" s="41" t="s">
        <v>1937</v>
      </c>
    </row>
    <row r="17">
      <c r="A17" s="20" t="s">
        <v>1938</v>
      </c>
      <c r="B17" s="23" t="s">
        <v>1939</v>
      </c>
      <c r="C17" s="25" t="s">
        <v>1940</v>
      </c>
      <c r="D17" s="30" t="s">
        <v>1819</v>
      </c>
      <c r="E17" s="25" t="s">
        <v>1921</v>
      </c>
      <c r="F17" s="25" t="s">
        <v>1941</v>
      </c>
      <c r="G17" s="25" t="s">
        <v>1923</v>
      </c>
      <c r="H17" s="25" t="s">
        <v>1942</v>
      </c>
      <c r="I17" s="25" t="s">
        <v>1799</v>
      </c>
      <c r="J17" s="30" t="s">
        <v>1799</v>
      </c>
      <c r="K17" s="25" t="s">
        <v>1825</v>
      </c>
      <c r="L17" s="25" t="s">
        <v>1943</v>
      </c>
      <c r="M17" s="41" t="s">
        <v>1945</v>
      </c>
    </row>
    <row r="18">
      <c r="A18" s="20" t="s">
        <v>1947</v>
      </c>
      <c r="B18" s="23" t="s">
        <v>1948</v>
      </c>
      <c r="C18" s="25" t="s">
        <v>1949</v>
      </c>
      <c r="D18" s="30" t="s">
        <v>1793</v>
      </c>
      <c r="E18" s="25" t="s">
        <v>1951</v>
      </c>
      <c r="F18" s="25" t="s">
        <v>1952</v>
      </c>
      <c r="G18" s="25" t="s">
        <v>1954</v>
      </c>
      <c r="H18" s="25" t="s">
        <v>1799</v>
      </c>
      <c r="I18" s="25" t="s">
        <v>1955</v>
      </c>
      <c r="J18" s="30" t="s">
        <v>1800</v>
      </c>
      <c r="K18" s="25" t="s">
        <v>1956</v>
      </c>
      <c r="L18" s="25" t="s">
        <v>1957</v>
      </c>
      <c r="M18" s="41" t="s">
        <v>1958</v>
      </c>
    </row>
    <row r="19">
      <c r="A19" s="20" t="s">
        <v>1959</v>
      </c>
      <c r="B19" s="23" t="s">
        <v>1960</v>
      </c>
      <c r="C19" s="25" t="s">
        <v>1961</v>
      </c>
      <c r="D19" s="30" t="s">
        <v>1819</v>
      </c>
      <c r="E19" s="25" t="s">
        <v>1962</v>
      </c>
      <c r="F19" s="25" t="s">
        <v>1963</v>
      </c>
      <c r="G19" s="25" t="s">
        <v>1839</v>
      </c>
      <c r="H19" s="25" t="s">
        <v>1799</v>
      </c>
      <c r="I19" s="25" t="s">
        <v>1799</v>
      </c>
      <c r="J19" s="30" t="s">
        <v>1799</v>
      </c>
      <c r="K19" s="25" t="s">
        <v>1964</v>
      </c>
      <c r="L19" s="25" t="s">
        <v>1965</v>
      </c>
      <c r="M19" s="41" t="s">
        <v>1966</v>
      </c>
    </row>
    <row r="20">
      <c r="A20" s="20" t="s">
        <v>1967</v>
      </c>
      <c r="B20" s="23" t="s">
        <v>1969</v>
      </c>
      <c r="C20" s="25" t="s">
        <v>1970</v>
      </c>
      <c r="D20" s="30" t="s">
        <v>1819</v>
      </c>
      <c r="E20" s="25" t="s">
        <v>1921</v>
      </c>
      <c r="F20" s="25" t="s">
        <v>1971</v>
      </c>
      <c r="G20" s="25" t="s">
        <v>1923</v>
      </c>
      <c r="H20" s="25" t="s">
        <v>1799</v>
      </c>
      <c r="I20" s="25" t="s">
        <v>1799</v>
      </c>
      <c r="J20" s="30" t="s">
        <v>1799</v>
      </c>
      <c r="K20" s="25" t="s">
        <v>1964</v>
      </c>
      <c r="L20" s="25" t="s">
        <v>1972</v>
      </c>
      <c r="M20" s="41" t="s">
        <v>1973</v>
      </c>
    </row>
    <row r="21">
      <c r="A21" s="20" t="s">
        <v>1974</v>
      </c>
      <c r="B21" s="23" t="s">
        <v>1975</v>
      </c>
      <c r="C21" s="25" t="s">
        <v>1976</v>
      </c>
      <c r="D21" s="30" t="s">
        <v>1819</v>
      </c>
      <c r="E21" s="25" t="s">
        <v>1921</v>
      </c>
      <c r="F21" s="25" t="s">
        <v>1977</v>
      </c>
      <c r="G21" s="25" t="s">
        <v>1923</v>
      </c>
      <c r="H21" s="25" t="s">
        <v>1799</v>
      </c>
      <c r="I21" s="25" t="s">
        <v>1799</v>
      </c>
      <c r="J21" s="30" t="s">
        <v>1799</v>
      </c>
      <c r="K21" s="25" t="s">
        <v>1964</v>
      </c>
      <c r="L21" s="25" t="s">
        <v>1979</v>
      </c>
      <c r="M21" s="41" t="s">
        <v>1980</v>
      </c>
    </row>
    <row r="22">
      <c r="A22" s="20" t="s">
        <v>1982</v>
      </c>
      <c r="B22" s="23" t="s">
        <v>1983</v>
      </c>
      <c r="C22" s="25" t="s">
        <v>1984</v>
      </c>
      <c r="D22" s="30" t="s">
        <v>1793</v>
      </c>
      <c r="E22" s="25" t="s">
        <v>1921</v>
      </c>
      <c r="F22" s="25" t="s">
        <v>1985</v>
      </c>
      <c r="G22" s="25" t="s">
        <v>1923</v>
      </c>
      <c r="H22" s="25" t="s">
        <v>1986</v>
      </c>
      <c r="I22" s="25" t="s">
        <v>1987</v>
      </c>
      <c r="J22" s="30" t="s">
        <v>1800</v>
      </c>
      <c r="K22" s="25" t="s">
        <v>1988</v>
      </c>
      <c r="L22" s="25" t="s">
        <v>1989</v>
      </c>
      <c r="M22" s="41" t="s">
        <v>1990</v>
      </c>
    </row>
    <row r="23">
      <c r="A23" s="20" t="s">
        <v>1991</v>
      </c>
      <c r="B23" s="23" t="s">
        <v>1983</v>
      </c>
      <c r="C23" s="25" t="s">
        <v>1984</v>
      </c>
      <c r="D23" s="30" t="s">
        <v>1793</v>
      </c>
      <c r="E23" s="25" t="s">
        <v>1993</v>
      </c>
      <c r="F23" s="25" t="s">
        <v>1994</v>
      </c>
      <c r="G23" s="25" t="s">
        <v>1995</v>
      </c>
      <c r="H23" s="25" t="s">
        <v>1986</v>
      </c>
      <c r="I23" s="25" t="s">
        <v>1987</v>
      </c>
      <c r="J23" s="30" t="s">
        <v>1800</v>
      </c>
      <c r="K23" s="25" t="s">
        <v>1988</v>
      </c>
      <c r="L23" s="25" t="s">
        <v>1997</v>
      </c>
      <c r="M23" s="41" t="s">
        <v>1999</v>
      </c>
    </row>
    <row r="24">
      <c r="A24" s="85" t="s">
        <v>1729</v>
      </c>
      <c r="B24" s="75" t="s">
        <v>2002</v>
      </c>
      <c r="C24" s="75" t="s">
        <v>2003</v>
      </c>
      <c r="D24" s="86" t="s">
        <v>1793</v>
      </c>
      <c r="E24" s="75" t="s">
        <v>1921</v>
      </c>
      <c r="F24" s="75" t="s">
        <v>2004</v>
      </c>
      <c r="G24" s="75" t="s">
        <v>1923</v>
      </c>
      <c r="H24" s="75" t="s">
        <v>2005</v>
      </c>
      <c r="I24" s="75" t="s">
        <v>2006</v>
      </c>
      <c r="J24" s="75" t="s">
        <v>1800</v>
      </c>
      <c r="K24" s="75" t="s">
        <v>2007</v>
      </c>
      <c r="L24" s="75" t="s">
        <v>2008</v>
      </c>
      <c r="M24" s="75" t="s">
        <v>2010</v>
      </c>
    </row>
    <row r="25">
      <c r="A25" s="85" t="s">
        <v>2012</v>
      </c>
      <c r="B25" s="75" t="s">
        <v>2014</v>
      </c>
      <c r="C25" s="75" t="s">
        <v>2015</v>
      </c>
      <c r="D25" s="86" t="s">
        <v>1846</v>
      </c>
      <c r="E25" s="75" t="s">
        <v>2016</v>
      </c>
      <c r="F25" s="75" t="s">
        <v>1799</v>
      </c>
      <c r="G25" s="75" t="s">
        <v>2018</v>
      </c>
      <c r="H25" s="75" t="s">
        <v>1799</v>
      </c>
      <c r="I25" s="75" t="s">
        <v>2019</v>
      </c>
      <c r="J25" s="75" t="s">
        <v>1800</v>
      </c>
      <c r="K25" s="75" t="s">
        <v>1851</v>
      </c>
      <c r="L25" s="75" t="s">
        <v>2020</v>
      </c>
      <c r="M25" s="75" t="s">
        <v>2021</v>
      </c>
    </row>
    <row r="26">
      <c r="A26" s="85" t="s">
        <v>2022</v>
      </c>
      <c r="B26" s="75" t="s">
        <v>2023</v>
      </c>
      <c r="C26" s="75" t="s">
        <v>2024</v>
      </c>
      <c r="D26" s="86" t="s">
        <v>1846</v>
      </c>
      <c r="E26" s="75" t="s">
        <v>2025</v>
      </c>
      <c r="F26" s="75" t="s">
        <v>1799</v>
      </c>
      <c r="G26" s="75" t="s">
        <v>2026</v>
      </c>
      <c r="H26" s="75" t="s">
        <v>2027</v>
      </c>
      <c r="I26" s="75" t="s">
        <v>2028</v>
      </c>
      <c r="J26" s="75" t="s">
        <v>1800</v>
      </c>
      <c r="K26" s="75" t="s">
        <v>1851</v>
      </c>
      <c r="L26" s="75" t="s">
        <v>2029</v>
      </c>
      <c r="M26" s="75" t="s">
        <v>2030</v>
      </c>
    </row>
    <row r="27">
      <c r="A27" s="87"/>
      <c r="D27" s="88"/>
    </row>
    <row r="28">
      <c r="A28" s="87"/>
      <c r="D28" s="88"/>
    </row>
    <row r="29">
      <c r="A29" s="87"/>
      <c r="D29" s="88"/>
    </row>
    <row r="30">
      <c r="A30" s="87"/>
      <c r="D30" s="88"/>
    </row>
    <row r="31">
      <c r="A31" s="87"/>
      <c r="D31" s="88"/>
    </row>
    <row r="32">
      <c r="A32" s="87"/>
      <c r="D32" s="88"/>
    </row>
    <row r="33">
      <c r="A33" s="87"/>
      <c r="D33" s="88"/>
    </row>
    <row r="34">
      <c r="A34" s="87"/>
      <c r="D34" s="88"/>
    </row>
    <row r="35">
      <c r="A35" s="87"/>
      <c r="D35" s="88"/>
    </row>
    <row r="36">
      <c r="A36" s="87"/>
      <c r="D36" s="88"/>
    </row>
    <row r="37">
      <c r="A37" s="87"/>
      <c r="D37" s="88"/>
    </row>
    <row r="38">
      <c r="A38" s="87"/>
      <c r="D38" s="88"/>
    </row>
    <row r="39">
      <c r="A39" s="87"/>
      <c r="D39" s="88"/>
    </row>
    <row r="40">
      <c r="A40" s="87"/>
      <c r="D40" s="88"/>
    </row>
    <row r="41">
      <c r="A41" s="87"/>
      <c r="D41" s="88"/>
    </row>
    <row r="42">
      <c r="A42" s="87"/>
      <c r="D42" s="88"/>
    </row>
    <row r="43">
      <c r="A43" s="87"/>
      <c r="D43" s="88"/>
    </row>
    <row r="44">
      <c r="A44" s="87"/>
      <c r="D44" s="88"/>
    </row>
    <row r="45">
      <c r="A45" s="87"/>
      <c r="D45" s="88"/>
    </row>
    <row r="46">
      <c r="A46" s="87"/>
      <c r="D46" s="88"/>
    </row>
    <row r="47">
      <c r="A47" s="87"/>
      <c r="D47" s="88"/>
    </row>
    <row r="48">
      <c r="A48" s="87"/>
      <c r="D48" s="88"/>
    </row>
    <row r="49">
      <c r="A49" s="87"/>
      <c r="D49" s="88"/>
    </row>
    <row r="50">
      <c r="A50" s="87"/>
      <c r="D50" s="86"/>
    </row>
    <row r="51">
      <c r="A51" s="87"/>
      <c r="D51" s="86"/>
    </row>
    <row r="52">
      <c r="A52" s="87"/>
      <c r="D52" s="86"/>
    </row>
    <row r="53">
      <c r="A53" s="87"/>
      <c r="D53" s="86" t="s">
        <v>2040</v>
      </c>
    </row>
    <row r="54">
      <c r="A54" s="87"/>
      <c r="D54" s="86"/>
    </row>
    <row r="55">
      <c r="A55" s="87"/>
      <c r="D55" s="86"/>
    </row>
    <row r="56">
      <c r="A56" s="87"/>
      <c r="D56" s="86"/>
    </row>
    <row r="57">
      <c r="A57" s="87"/>
      <c r="D57" s="86"/>
    </row>
    <row r="58">
      <c r="A58" s="87"/>
      <c r="D58" s="86"/>
    </row>
    <row r="59">
      <c r="A59" s="87"/>
      <c r="D59" s="86"/>
    </row>
    <row r="60">
      <c r="A60" s="87"/>
      <c r="D60" s="86"/>
    </row>
    <row r="61">
      <c r="A61" s="87"/>
      <c r="D61" s="86"/>
    </row>
    <row r="62">
      <c r="A62" s="87"/>
      <c r="D62" s="86"/>
    </row>
    <row r="63">
      <c r="A63" s="87"/>
      <c r="D63" s="86"/>
    </row>
    <row r="64">
      <c r="A64" s="87"/>
      <c r="D64" s="86"/>
    </row>
    <row r="65">
      <c r="A65" s="87"/>
      <c r="D65" s="86"/>
    </row>
    <row r="66">
      <c r="A66" s="87"/>
      <c r="D66" s="86"/>
    </row>
    <row r="67">
      <c r="A67" s="87"/>
      <c r="D67" s="86"/>
    </row>
    <row r="68">
      <c r="A68" s="87"/>
      <c r="D68" s="86"/>
    </row>
    <row r="69">
      <c r="A69" s="87"/>
      <c r="D69" s="86"/>
    </row>
    <row r="70">
      <c r="A70" s="87"/>
      <c r="D70" s="86"/>
    </row>
    <row r="71">
      <c r="A71" s="87"/>
      <c r="D71" s="86"/>
    </row>
    <row r="72">
      <c r="A72" s="87"/>
      <c r="D72" s="88"/>
    </row>
    <row r="73">
      <c r="A73" s="87"/>
      <c r="D73" s="88"/>
    </row>
    <row r="74">
      <c r="A74" s="87"/>
      <c r="D74" s="88"/>
    </row>
    <row r="75">
      <c r="A75" s="87"/>
      <c r="D75" s="88"/>
    </row>
    <row r="76">
      <c r="A76" s="87"/>
      <c r="D76" s="88"/>
    </row>
    <row r="77">
      <c r="A77" s="87"/>
      <c r="D77" s="88"/>
    </row>
    <row r="78">
      <c r="A78" s="87"/>
      <c r="D78" s="88"/>
    </row>
    <row r="79">
      <c r="A79" s="87"/>
      <c r="D79" s="88"/>
    </row>
    <row r="80">
      <c r="A80" s="87"/>
      <c r="D80" s="88"/>
    </row>
    <row r="81">
      <c r="A81" s="87"/>
      <c r="D81" s="88"/>
    </row>
    <row r="82">
      <c r="A82" s="87"/>
      <c r="D82" s="88"/>
    </row>
    <row r="83">
      <c r="A83" s="87"/>
      <c r="D83" s="88"/>
    </row>
    <row r="84">
      <c r="A84" s="87"/>
      <c r="D84" s="88"/>
    </row>
    <row r="85">
      <c r="A85" s="87"/>
      <c r="D85" s="88"/>
    </row>
    <row r="86">
      <c r="A86" s="87"/>
      <c r="D86" s="88"/>
    </row>
    <row r="87">
      <c r="A87" s="87"/>
      <c r="D87" s="88"/>
    </row>
    <row r="88">
      <c r="A88" s="87"/>
      <c r="D88" s="88"/>
    </row>
    <row r="89">
      <c r="A89" s="87"/>
      <c r="D89" s="88"/>
    </row>
    <row r="90">
      <c r="A90" s="87"/>
      <c r="D90" s="88"/>
    </row>
    <row r="91">
      <c r="A91" s="87"/>
      <c r="D91" s="88"/>
    </row>
    <row r="92">
      <c r="A92" s="87"/>
      <c r="D92" s="88"/>
    </row>
    <row r="93">
      <c r="A93" s="87"/>
      <c r="D93" s="88"/>
    </row>
    <row r="94">
      <c r="A94" s="87"/>
      <c r="D94" s="88"/>
    </row>
    <row r="95">
      <c r="A95" s="87"/>
      <c r="D95" s="88"/>
    </row>
    <row r="96">
      <c r="A96" s="87"/>
      <c r="D96" s="88"/>
    </row>
    <row r="97">
      <c r="A97" s="87"/>
      <c r="D97" s="88"/>
    </row>
    <row r="98">
      <c r="A98" s="87"/>
      <c r="D98" s="88"/>
    </row>
    <row r="99">
      <c r="A99" s="87"/>
      <c r="D99" s="88"/>
    </row>
    <row r="100">
      <c r="A100" s="87"/>
      <c r="D100" s="88"/>
    </row>
    <row r="101">
      <c r="A101" s="87"/>
      <c r="D101" s="88"/>
    </row>
    <row r="102">
      <c r="A102" s="87"/>
      <c r="D102" s="88"/>
    </row>
    <row r="103">
      <c r="A103" s="87"/>
      <c r="D103" s="88"/>
    </row>
    <row r="104">
      <c r="A104" s="87"/>
      <c r="D104" s="88"/>
    </row>
    <row r="105">
      <c r="A105" s="92"/>
      <c r="D105" s="88"/>
    </row>
    <row r="106">
      <c r="A106" s="93"/>
      <c r="D106" s="88"/>
    </row>
    <row r="107">
      <c r="A107" s="92"/>
      <c r="B107" s="92"/>
      <c r="C107" s="92"/>
      <c r="D107" s="94"/>
      <c r="E107" s="92"/>
      <c r="F107" s="92"/>
      <c r="G107" s="92"/>
      <c r="H107" s="92"/>
      <c r="I107" s="92"/>
      <c r="J107" s="92"/>
      <c r="K107" s="92"/>
      <c r="L107" s="92"/>
      <c r="M107" s="92"/>
    </row>
    <row r="108">
      <c r="A108" s="92"/>
      <c r="D108" s="88"/>
    </row>
    <row r="109">
      <c r="A109" s="93"/>
      <c r="D109" s="88"/>
    </row>
    <row r="110">
      <c r="A110" s="92"/>
      <c r="B110" s="92"/>
      <c r="C110" s="92"/>
      <c r="D110" s="94"/>
      <c r="E110" s="92"/>
      <c r="F110" s="92"/>
      <c r="G110" s="92"/>
      <c r="H110" s="92"/>
      <c r="I110" s="92"/>
      <c r="J110" s="92"/>
      <c r="K110" s="92"/>
      <c r="L110" s="92"/>
      <c r="M110" s="92"/>
    </row>
    <row r="111">
      <c r="A111" s="92"/>
      <c r="B111" s="92"/>
      <c r="C111" s="92"/>
      <c r="D111" s="94"/>
      <c r="E111" s="92"/>
      <c r="F111" s="92"/>
      <c r="G111" s="92"/>
      <c r="H111" s="92"/>
      <c r="I111" s="92"/>
      <c r="J111" s="92"/>
      <c r="K111" s="92"/>
      <c r="L111" s="92"/>
      <c r="M111" s="92"/>
    </row>
    <row r="112">
      <c r="A112" s="92"/>
      <c r="B112" s="92"/>
      <c r="C112" s="92"/>
      <c r="D112" s="94"/>
      <c r="E112" s="92"/>
      <c r="F112" s="92"/>
      <c r="G112" s="92"/>
      <c r="H112" s="92"/>
      <c r="I112" s="92"/>
      <c r="J112" s="92"/>
      <c r="K112" s="92"/>
      <c r="L112" s="92"/>
      <c r="M112" s="92"/>
    </row>
    <row r="113">
      <c r="A113" s="92"/>
      <c r="B113" s="92"/>
      <c r="C113" s="92"/>
      <c r="D113" s="94"/>
      <c r="E113" s="92"/>
      <c r="F113" s="92"/>
      <c r="G113" s="92"/>
      <c r="H113" s="92"/>
      <c r="I113" s="92"/>
      <c r="J113" s="92"/>
      <c r="K113" s="92"/>
      <c r="L113" s="92"/>
      <c r="M113" s="92"/>
    </row>
    <row r="114">
      <c r="A114" s="92"/>
      <c r="B114" s="92"/>
      <c r="C114" s="92"/>
      <c r="D114" s="94"/>
      <c r="E114" s="92"/>
      <c r="F114" s="92"/>
      <c r="G114" s="92"/>
      <c r="H114" s="92"/>
      <c r="I114" s="92"/>
      <c r="J114" s="92"/>
      <c r="K114" s="92"/>
      <c r="L114" s="92"/>
      <c r="M114" s="92"/>
    </row>
    <row r="115">
      <c r="A115" s="92"/>
      <c r="B115" s="92"/>
      <c r="C115" s="92"/>
      <c r="D115" s="94"/>
      <c r="E115" s="92"/>
      <c r="F115" s="92"/>
      <c r="G115" s="92"/>
      <c r="H115" s="92"/>
      <c r="I115" s="92"/>
      <c r="J115" s="92"/>
      <c r="K115" s="92"/>
      <c r="L115" s="92"/>
      <c r="M115" s="92"/>
    </row>
    <row r="116">
      <c r="A116" s="92"/>
      <c r="B116" s="92"/>
      <c r="C116" s="92"/>
      <c r="D116" s="94"/>
      <c r="E116" s="92"/>
      <c r="F116" s="92"/>
      <c r="G116" s="92"/>
      <c r="H116" s="92"/>
      <c r="I116" s="92"/>
      <c r="J116" s="92"/>
      <c r="K116" s="92"/>
      <c r="L116" s="92"/>
      <c r="M116" s="92"/>
    </row>
    <row r="117">
      <c r="A117" s="92"/>
      <c r="B117" s="92"/>
      <c r="C117" s="92"/>
      <c r="D117" s="94"/>
      <c r="E117" s="92"/>
      <c r="F117" s="92"/>
      <c r="G117" s="92"/>
      <c r="H117" s="92"/>
      <c r="I117" s="92"/>
      <c r="J117" s="92"/>
      <c r="K117" s="92"/>
      <c r="L117" s="92"/>
      <c r="M117" s="92"/>
    </row>
    <row r="118">
      <c r="A118" s="92"/>
      <c r="B118" s="92"/>
      <c r="C118" s="92"/>
      <c r="D118" s="94"/>
      <c r="E118" s="92"/>
      <c r="F118" s="92"/>
      <c r="G118" s="92"/>
      <c r="H118" s="92"/>
      <c r="I118" s="92"/>
      <c r="J118" s="92"/>
      <c r="K118" s="92"/>
      <c r="L118" s="92"/>
      <c r="M118" s="92"/>
    </row>
    <row r="119">
      <c r="A119" s="92"/>
      <c r="B119" s="92"/>
      <c r="C119" s="92"/>
      <c r="D119" s="94"/>
      <c r="E119" s="92"/>
      <c r="F119" s="92"/>
      <c r="G119" s="92"/>
      <c r="H119" s="92"/>
      <c r="I119" s="92"/>
      <c r="J119" s="92"/>
      <c r="K119" s="92"/>
      <c r="L119" s="92"/>
      <c r="M119" s="92"/>
    </row>
    <row r="120">
      <c r="A120" s="92"/>
      <c r="B120" s="92"/>
      <c r="C120" s="92"/>
      <c r="D120" s="94"/>
      <c r="E120" s="92"/>
      <c r="F120" s="92"/>
      <c r="G120" s="92"/>
      <c r="H120" s="92"/>
      <c r="I120" s="92"/>
      <c r="J120" s="92"/>
      <c r="K120" s="92"/>
      <c r="L120" s="92"/>
      <c r="M120" s="92"/>
    </row>
    <row r="121">
      <c r="A121" s="92"/>
      <c r="B121" s="92"/>
      <c r="C121" s="92"/>
      <c r="D121" s="94"/>
      <c r="E121" s="92"/>
      <c r="F121" s="92"/>
      <c r="G121" s="92"/>
      <c r="H121" s="92"/>
      <c r="I121" s="92"/>
      <c r="J121" s="92"/>
      <c r="K121" s="92"/>
      <c r="L121" s="92"/>
      <c r="M121" s="92"/>
    </row>
    <row r="122">
      <c r="A122" s="92"/>
      <c r="B122" s="92"/>
      <c r="C122" s="92"/>
      <c r="D122" s="94"/>
      <c r="E122" s="92"/>
      <c r="F122" s="92"/>
      <c r="G122" s="92"/>
      <c r="H122" s="92"/>
      <c r="I122" s="92"/>
      <c r="J122" s="92"/>
      <c r="K122" s="92"/>
      <c r="L122" s="92"/>
      <c r="M122" s="92"/>
    </row>
    <row r="123">
      <c r="A123" s="92"/>
      <c r="B123" s="92"/>
      <c r="C123" s="92"/>
      <c r="D123" s="94"/>
      <c r="E123" s="92"/>
      <c r="F123" s="92"/>
      <c r="G123" s="92"/>
      <c r="H123" s="92"/>
      <c r="I123" s="92"/>
      <c r="J123" s="92"/>
      <c r="K123" s="92"/>
      <c r="L123" s="92"/>
      <c r="M123" s="92"/>
    </row>
    <row r="124">
      <c r="A124" s="92"/>
      <c r="B124" s="92"/>
      <c r="C124" s="92"/>
      <c r="D124" s="94"/>
      <c r="E124" s="92"/>
      <c r="F124" s="92"/>
      <c r="G124" s="92"/>
      <c r="H124" s="92"/>
      <c r="I124" s="92"/>
      <c r="J124" s="92"/>
      <c r="K124" s="92"/>
      <c r="L124" s="92"/>
      <c r="M124" s="92"/>
    </row>
    <row r="125">
      <c r="A125" s="92"/>
      <c r="B125" s="92"/>
      <c r="C125" s="92"/>
      <c r="D125" s="94"/>
      <c r="E125" s="92"/>
      <c r="F125" s="92"/>
      <c r="G125" s="92"/>
      <c r="H125" s="92"/>
      <c r="I125" s="92"/>
      <c r="J125" s="92"/>
      <c r="K125" s="92"/>
      <c r="L125" s="92"/>
      <c r="M125" s="92"/>
    </row>
    <row r="126">
      <c r="A126" s="92"/>
      <c r="B126" s="92"/>
      <c r="C126" s="92"/>
      <c r="D126" s="94"/>
      <c r="E126" s="92"/>
      <c r="F126" s="92"/>
      <c r="G126" s="92"/>
      <c r="H126" s="92"/>
      <c r="I126" s="92"/>
      <c r="J126" s="92"/>
      <c r="K126" s="92"/>
      <c r="L126" s="92"/>
      <c r="M126" s="92"/>
    </row>
    <row r="127">
      <c r="A127" s="92"/>
      <c r="B127" s="92"/>
      <c r="C127" s="92"/>
      <c r="D127" s="94"/>
      <c r="E127" s="92"/>
      <c r="F127" s="92"/>
      <c r="G127" s="92"/>
      <c r="H127" s="92"/>
      <c r="I127" s="92"/>
      <c r="J127" s="92"/>
      <c r="K127" s="92"/>
      <c r="L127" s="92"/>
      <c r="M127" s="92"/>
    </row>
    <row r="128">
      <c r="A128" s="92"/>
      <c r="B128" s="92"/>
      <c r="C128" s="92"/>
      <c r="D128" s="94"/>
      <c r="E128" s="92"/>
      <c r="F128" s="92"/>
      <c r="G128" s="92"/>
      <c r="H128" s="92"/>
      <c r="I128" s="92"/>
      <c r="J128" s="92"/>
      <c r="K128" s="92"/>
      <c r="L128" s="92"/>
      <c r="M128" s="92"/>
    </row>
    <row r="129">
      <c r="A129" s="92"/>
      <c r="B129" s="92"/>
      <c r="C129" s="92"/>
      <c r="D129" s="94"/>
      <c r="E129" s="92"/>
      <c r="F129" s="92"/>
      <c r="G129" s="92"/>
      <c r="H129" s="92"/>
      <c r="I129" s="92"/>
      <c r="J129" s="92"/>
      <c r="K129" s="92"/>
      <c r="L129" s="92"/>
      <c r="M129" s="92"/>
    </row>
    <row r="130">
      <c r="A130" s="92"/>
      <c r="B130" s="92"/>
      <c r="C130" s="92"/>
      <c r="D130" s="94"/>
      <c r="E130" s="92"/>
      <c r="F130" s="92"/>
      <c r="G130" s="92"/>
      <c r="H130" s="92"/>
      <c r="I130" s="92"/>
      <c r="J130" s="92"/>
      <c r="K130" s="92"/>
      <c r="L130" s="92"/>
      <c r="M130" s="92"/>
    </row>
    <row r="131">
      <c r="A131" s="87"/>
      <c r="D131" s="88"/>
    </row>
    <row r="132">
      <c r="A132" s="87"/>
      <c r="D132" s="88"/>
    </row>
    <row r="133">
      <c r="A133" s="87"/>
      <c r="D133" s="88"/>
    </row>
    <row r="134">
      <c r="A134" s="87"/>
      <c r="D134" s="88"/>
    </row>
    <row r="135">
      <c r="A135" s="87"/>
      <c r="D135" s="88"/>
    </row>
    <row r="136">
      <c r="A136" s="87"/>
      <c r="D136" s="88"/>
    </row>
    <row r="137">
      <c r="A137" s="87"/>
      <c r="D137" s="88"/>
    </row>
    <row r="138">
      <c r="A138" s="87"/>
      <c r="D138" s="88"/>
    </row>
    <row r="139">
      <c r="A139" s="87"/>
      <c r="D139" s="88"/>
    </row>
    <row r="140">
      <c r="A140" s="87"/>
      <c r="D140" s="88"/>
    </row>
    <row r="141">
      <c r="A141" s="87"/>
      <c r="D141" s="88"/>
    </row>
    <row r="142">
      <c r="A142" s="87"/>
      <c r="D142" s="88"/>
    </row>
    <row r="143">
      <c r="A143" s="87"/>
      <c r="D143" s="88"/>
    </row>
    <row r="144">
      <c r="A144" s="87"/>
      <c r="D144" s="88"/>
    </row>
    <row r="145">
      <c r="A145" s="87"/>
      <c r="D145" s="88"/>
    </row>
    <row r="146">
      <c r="A146" s="87"/>
      <c r="D146" s="88"/>
    </row>
    <row r="147">
      <c r="A147" s="87"/>
      <c r="D147" s="88"/>
    </row>
    <row r="148">
      <c r="A148" s="87"/>
      <c r="D148" s="88"/>
    </row>
    <row r="149">
      <c r="A149" s="87"/>
      <c r="D149" s="88"/>
    </row>
    <row r="150">
      <c r="A150" s="87"/>
      <c r="D150" s="88"/>
    </row>
    <row r="151">
      <c r="A151" s="87"/>
      <c r="D151" s="88"/>
    </row>
    <row r="152">
      <c r="A152" s="87"/>
      <c r="D152" s="88"/>
    </row>
    <row r="153">
      <c r="A153" s="87"/>
      <c r="D153" s="88"/>
    </row>
    <row r="154">
      <c r="A154" s="87"/>
      <c r="D154" s="88"/>
    </row>
    <row r="155">
      <c r="A155" s="87"/>
      <c r="D155" s="88"/>
    </row>
    <row r="156">
      <c r="A156" s="87"/>
      <c r="D156" s="88"/>
    </row>
    <row r="157">
      <c r="A157" s="87"/>
      <c r="D157" s="88"/>
    </row>
    <row r="158">
      <c r="A158" s="87"/>
      <c r="D158" s="88"/>
    </row>
    <row r="159">
      <c r="A159" s="87"/>
      <c r="D159" s="88"/>
    </row>
    <row r="160">
      <c r="A160" s="87"/>
      <c r="D160" s="88"/>
    </row>
    <row r="161">
      <c r="A161" s="87"/>
      <c r="D161" s="88"/>
    </row>
    <row r="162">
      <c r="A162" s="87"/>
      <c r="D162" s="88"/>
    </row>
    <row r="163">
      <c r="A163" s="87"/>
      <c r="D163" s="88"/>
    </row>
    <row r="164">
      <c r="A164" s="87"/>
      <c r="D164" s="88"/>
    </row>
    <row r="165">
      <c r="A165" s="87"/>
      <c r="D165" s="88"/>
    </row>
    <row r="166">
      <c r="A166" s="87"/>
      <c r="D166" s="88"/>
    </row>
    <row r="167">
      <c r="A167" s="87"/>
      <c r="D167" s="88"/>
    </row>
    <row r="168">
      <c r="A168" s="87"/>
      <c r="D168" s="88"/>
    </row>
    <row r="169">
      <c r="A169" s="87"/>
      <c r="D169" s="88"/>
    </row>
    <row r="170">
      <c r="A170" s="87"/>
      <c r="D170" s="88"/>
    </row>
    <row r="171">
      <c r="A171" s="87"/>
      <c r="D171" s="88"/>
    </row>
    <row r="172">
      <c r="A172" s="87"/>
      <c r="D172" s="88"/>
    </row>
    <row r="173">
      <c r="A173" s="87"/>
      <c r="D173" s="88"/>
    </row>
    <row r="174">
      <c r="A174" s="87"/>
      <c r="D174" s="88"/>
    </row>
    <row r="175">
      <c r="A175" s="87"/>
      <c r="D175" s="88"/>
    </row>
    <row r="176">
      <c r="A176" s="87"/>
      <c r="D176" s="88"/>
    </row>
    <row r="177">
      <c r="A177" s="87"/>
      <c r="D177" s="88"/>
    </row>
    <row r="178">
      <c r="A178" s="87"/>
      <c r="D178" s="88"/>
    </row>
    <row r="179">
      <c r="A179" s="87"/>
      <c r="D179" s="88"/>
    </row>
    <row r="180">
      <c r="A180" s="87"/>
      <c r="D180" s="88"/>
    </row>
    <row r="181">
      <c r="A181" s="87"/>
      <c r="D181" s="88"/>
    </row>
    <row r="182">
      <c r="A182" s="87"/>
      <c r="D182" s="88"/>
    </row>
    <row r="183">
      <c r="A183" s="87"/>
      <c r="D183" s="88"/>
    </row>
    <row r="184">
      <c r="A184" s="87"/>
      <c r="D184" s="88"/>
    </row>
    <row r="185">
      <c r="A185" s="87"/>
      <c r="D185" s="88"/>
    </row>
    <row r="186">
      <c r="A186" s="87"/>
      <c r="D186" s="88"/>
    </row>
    <row r="187">
      <c r="A187" s="87"/>
      <c r="D187" s="88"/>
    </row>
    <row r="188">
      <c r="A188" s="87"/>
      <c r="D188" s="88"/>
    </row>
    <row r="189">
      <c r="A189" s="87"/>
      <c r="D189" s="88"/>
    </row>
    <row r="190">
      <c r="A190" s="87"/>
      <c r="D190" s="88"/>
    </row>
    <row r="191">
      <c r="A191" s="87"/>
      <c r="D191" s="88"/>
    </row>
    <row r="192">
      <c r="A192" s="87"/>
      <c r="D192" s="88"/>
    </row>
    <row r="193">
      <c r="A193" s="87"/>
      <c r="D193" s="88"/>
    </row>
    <row r="194">
      <c r="A194" s="87"/>
      <c r="D194" s="88"/>
    </row>
    <row r="195">
      <c r="A195" s="87"/>
      <c r="D195" s="88"/>
    </row>
    <row r="196">
      <c r="A196" s="87"/>
      <c r="D196" s="88"/>
    </row>
    <row r="197">
      <c r="A197" s="87"/>
      <c r="D197" s="88"/>
    </row>
    <row r="198">
      <c r="A198" s="87"/>
      <c r="D198" s="88"/>
    </row>
    <row r="199">
      <c r="A199" s="87"/>
      <c r="D199" s="88"/>
    </row>
    <row r="200">
      <c r="A200" s="87"/>
      <c r="D200" s="88"/>
    </row>
    <row r="201">
      <c r="A201" s="87"/>
      <c r="D201" s="88"/>
    </row>
    <row r="202">
      <c r="A202" s="87"/>
      <c r="D202" s="88"/>
    </row>
    <row r="203">
      <c r="A203" s="87"/>
      <c r="D203" s="88"/>
    </row>
    <row r="204">
      <c r="A204" s="87"/>
      <c r="D204" s="88"/>
    </row>
    <row r="205">
      <c r="A205" s="87"/>
      <c r="D205" s="88"/>
    </row>
    <row r="206">
      <c r="A206" s="87"/>
      <c r="D206" s="88"/>
    </row>
    <row r="207">
      <c r="A207" s="87"/>
      <c r="D207" s="88"/>
    </row>
    <row r="208">
      <c r="A208" s="87"/>
      <c r="D208" s="88"/>
    </row>
    <row r="209">
      <c r="A209" s="87"/>
      <c r="D209" s="88"/>
    </row>
    <row r="210">
      <c r="A210" s="87"/>
      <c r="D210" s="88"/>
    </row>
    <row r="211">
      <c r="A211" s="87"/>
      <c r="D211" s="88"/>
    </row>
    <row r="212">
      <c r="A212" s="87"/>
      <c r="D212" s="88"/>
    </row>
    <row r="213">
      <c r="A213" s="87"/>
      <c r="D213" s="88"/>
    </row>
    <row r="214">
      <c r="A214" s="87"/>
      <c r="D214" s="88"/>
    </row>
    <row r="215">
      <c r="A215" s="87"/>
      <c r="D215" s="88"/>
    </row>
    <row r="216">
      <c r="A216" s="87"/>
      <c r="D216" s="88"/>
    </row>
    <row r="217">
      <c r="A217" s="87"/>
      <c r="D217" s="88"/>
    </row>
    <row r="218">
      <c r="A218" s="87"/>
      <c r="D218" s="88"/>
    </row>
    <row r="219">
      <c r="A219" s="87"/>
      <c r="D219" s="88"/>
    </row>
    <row r="220">
      <c r="A220" s="87"/>
      <c r="D220" s="88"/>
    </row>
    <row r="221">
      <c r="A221" s="87"/>
      <c r="D221" s="88"/>
    </row>
    <row r="222">
      <c r="A222" s="87"/>
      <c r="D222" s="88"/>
    </row>
    <row r="223">
      <c r="A223" s="87"/>
      <c r="D223" s="88"/>
    </row>
    <row r="224">
      <c r="A224" s="87"/>
      <c r="D224" s="88"/>
    </row>
    <row r="225">
      <c r="A225" s="87"/>
      <c r="D225" s="88"/>
    </row>
    <row r="226">
      <c r="A226" s="87"/>
      <c r="D226" s="88"/>
    </row>
    <row r="227">
      <c r="A227" s="87"/>
      <c r="D227" s="88"/>
    </row>
    <row r="228">
      <c r="A228" s="87"/>
      <c r="D228" s="88"/>
    </row>
    <row r="229">
      <c r="A229" s="87"/>
      <c r="D229" s="88"/>
    </row>
    <row r="230">
      <c r="A230" s="87"/>
      <c r="D230" s="88"/>
    </row>
    <row r="231">
      <c r="A231" s="87"/>
      <c r="D231" s="88"/>
    </row>
    <row r="232">
      <c r="A232" s="87"/>
      <c r="D232" s="88"/>
    </row>
    <row r="233">
      <c r="A233" s="87"/>
      <c r="D233" s="88"/>
    </row>
    <row r="234">
      <c r="A234" s="87"/>
      <c r="D234" s="88"/>
    </row>
    <row r="235">
      <c r="A235" s="87"/>
      <c r="D235" s="88"/>
    </row>
    <row r="236">
      <c r="A236" s="87"/>
      <c r="D236" s="88"/>
    </row>
    <row r="237">
      <c r="A237" s="87"/>
      <c r="D237" s="88"/>
    </row>
    <row r="238">
      <c r="A238" s="87"/>
      <c r="D238" s="88"/>
    </row>
    <row r="239">
      <c r="A239" s="87"/>
      <c r="D239" s="88"/>
    </row>
    <row r="240">
      <c r="A240" s="87"/>
      <c r="D240" s="88"/>
    </row>
    <row r="241">
      <c r="A241" s="87"/>
      <c r="D241" s="88"/>
    </row>
    <row r="242">
      <c r="A242" s="87"/>
      <c r="D242" s="88"/>
    </row>
    <row r="243">
      <c r="A243" s="87"/>
      <c r="D243" s="88"/>
    </row>
    <row r="244">
      <c r="A244" s="87"/>
      <c r="D244" s="88"/>
    </row>
    <row r="245">
      <c r="A245" s="87"/>
      <c r="D245" s="88"/>
    </row>
    <row r="246">
      <c r="A246" s="87"/>
      <c r="D246" s="88"/>
    </row>
    <row r="247">
      <c r="A247" s="87"/>
      <c r="D247" s="88"/>
    </row>
    <row r="248">
      <c r="A248" s="87"/>
      <c r="D248" s="88"/>
    </row>
    <row r="249">
      <c r="A249" s="87"/>
      <c r="D249" s="88"/>
    </row>
    <row r="250">
      <c r="A250" s="87"/>
      <c r="D250" s="88"/>
    </row>
    <row r="251">
      <c r="A251" s="87"/>
      <c r="D251" s="88"/>
    </row>
    <row r="252">
      <c r="A252" s="87"/>
      <c r="D252" s="88"/>
    </row>
    <row r="253">
      <c r="A253" s="87"/>
      <c r="D253" s="88"/>
    </row>
    <row r="254">
      <c r="A254" s="87"/>
      <c r="D254" s="88"/>
    </row>
    <row r="255">
      <c r="A255" s="87"/>
      <c r="D255" s="88"/>
    </row>
    <row r="256">
      <c r="A256" s="87"/>
      <c r="D256" s="88"/>
    </row>
    <row r="257">
      <c r="A257" s="87"/>
      <c r="D257" s="88"/>
    </row>
    <row r="258">
      <c r="A258" s="87"/>
      <c r="D258" s="88"/>
    </row>
    <row r="259">
      <c r="A259" s="87"/>
      <c r="D259" s="88"/>
    </row>
    <row r="260">
      <c r="A260" s="87"/>
      <c r="D260" s="88"/>
    </row>
    <row r="261">
      <c r="A261" s="87"/>
      <c r="D261" s="88"/>
    </row>
    <row r="262">
      <c r="A262" s="87"/>
      <c r="D262" s="88"/>
    </row>
    <row r="263">
      <c r="A263" s="87"/>
      <c r="D263" s="88"/>
    </row>
    <row r="264">
      <c r="A264" s="87"/>
      <c r="D264" s="88"/>
    </row>
    <row r="265">
      <c r="A265" s="87"/>
      <c r="D265" s="88"/>
    </row>
    <row r="266">
      <c r="A266" s="87"/>
      <c r="D266" s="88"/>
    </row>
    <row r="267">
      <c r="A267" s="87"/>
      <c r="D267" s="88"/>
    </row>
    <row r="268">
      <c r="A268" s="87"/>
      <c r="D268" s="88"/>
    </row>
    <row r="269">
      <c r="A269" s="87"/>
      <c r="D269" s="88"/>
    </row>
    <row r="270">
      <c r="A270" s="87"/>
      <c r="D270" s="88"/>
    </row>
    <row r="271">
      <c r="A271" s="87"/>
      <c r="D271" s="88"/>
    </row>
    <row r="272">
      <c r="A272" s="87"/>
      <c r="D272" s="88"/>
    </row>
    <row r="273">
      <c r="A273" s="87"/>
      <c r="D273" s="88"/>
    </row>
    <row r="274">
      <c r="A274" s="87"/>
      <c r="D274" s="88"/>
    </row>
    <row r="275">
      <c r="A275" s="87"/>
      <c r="D275" s="88"/>
    </row>
    <row r="276">
      <c r="A276" s="87"/>
      <c r="D276" s="88"/>
    </row>
    <row r="277">
      <c r="A277" s="87"/>
      <c r="D277" s="88"/>
    </row>
    <row r="278">
      <c r="A278" s="87"/>
      <c r="D278" s="88"/>
    </row>
    <row r="279">
      <c r="A279" s="87"/>
      <c r="D279" s="88"/>
    </row>
    <row r="280">
      <c r="A280" s="87"/>
      <c r="D280" s="88"/>
    </row>
    <row r="281">
      <c r="A281" s="87"/>
      <c r="D281" s="88"/>
    </row>
    <row r="282">
      <c r="A282" s="87"/>
      <c r="D282" s="88"/>
    </row>
    <row r="283">
      <c r="A283" s="87"/>
      <c r="D283" s="88"/>
    </row>
    <row r="284">
      <c r="A284" s="87"/>
      <c r="D284" s="88"/>
    </row>
    <row r="285">
      <c r="A285" s="87"/>
      <c r="D285" s="88"/>
    </row>
    <row r="286">
      <c r="A286" s="87"/>
      <c r="D286" s="88"/>
    </row>
    <row r="287">
      <c r="A287" s="87"/>
      <c r="D287" s="88"/>
    </row>
    <row r="288">
      <c r="A288" s="87"/>
      <c r="D288" s="88"/>
    </row>
    <row r="289">
      <c r="A289" s="87"/>
      <c r="D289" s="88"/>
    </row>
    <row r="290">
      <c r="A290" s="87"/>
      <c r="D290" s="88"/>
    </row>
    <row r="291">
      <c r="A291" s="87"/>
      <c r="D291" s="88"/>
    </row>
    <row r="292">
      <c r="A292" s="87"/>
      <c r="D292" s="88"/>
    </row>
    <row r="293">
      <c r="A293" s="87"/>
      <c r="D293" s="88"/>
    </row>
    <row r="294">
      <c r="A294" s="87"/>
      <c r="D294" s="88"/>
    </row>
    <row r="295">
      <c r="A295" s="87"/>
      <c r="D295" s="88"/>
    </row>
    <row r="296">
      <c r="A296" s="87"/>
      <c r="D296" s="88"/>
    </row>
    <row r="297">
      <c r="A297" s="87"/>
      <c r="D297" s="88"/>
    </row>
    <row r="298">
      <c r="A298" s="87"/>
      <c r="D298" s="88"/>
    </row>
    <row r="299">
      <c r="A299" s="87"/>
      <c r="D299" s="88"/>
    </row>
    <row r="300">
      <c r="A300" s="87"/>
      <c r="D300" s="88"/>
    </row>
    <row r="301">
      <c r="A301" s="87"/>
      <c r="D301" s="88"/>
    </row>
    <row r="302">
      <c r="A302" s="87"/>
      <c r="D302" s="88"/>
    </row>
    <row r="303">
      <c r="A303" s="87"/>
      <c r="D303" s="88"/>
    </row>
    <row r="304">
      <c r="A304" s="87"/>
      <c r="D304" s="88"/>
    </row>
    <row r="305">
      <c r="A305" s="87"/>
      <c r="D305" s="88"/>
    </row>
    <row r="306">
      <c r="A306" s="87"/>
      <c r="D306" s="88"/>
    </row>
    <row r="307">
      <c r="A307" s="87"/>
      <c r="D307" s="88"/>
    </row>
    <row r="308">
      <c r="A308" s="87"/>
      <c r="D308" s="88"/>
    </row>
    <row r="309">
      <c r="A309" s="87"/>
      <c r="D309" s="88"/>
    </row>
    <row r="310">
      <c r="A310" s="87"/>
      <c r="D310" s="88"/>
    </row>
    <row r="311">
      <c r="A311" s="87"/>
      <c r="D311" s="88"/>
    </row>
    <row r="312">
      <c r="A312" s="87"/>
      <c r="D312" s="88"/>
    </row>
    <row r="313">
      <c r="A313" s="87"/>
      <c r="D313" s="88"/>
    </row>
    <row r="314">
      <c r="A314" s="87"/>
      <c r="D314" s="88"/>
    </row>
    <row r="315">
      <c r="A315" s="87"/>
      <c r="D315" s="88"/>
    </row>
    <row r="316">
      <c r="A316" s="87"/>
      <c r="D316" s="88"/>
    </row>
    <row r="317">
      <c r="A317" s="87"/>
      <c r="D317" s="88"/>
    </row>
    <row r="318">
      <c r="A318" s="87"/>
      <c r="D318" s="88"/>
    </row>
    <row r="319">
      <c r="A319" s="87"/>
      <c r="D319" s="88"/>
    </row>
    <row r="320">
      <c r="A320" s="87"/>
      <c r="D320" s="88"/>
    </row>
    <row r="321">
      <c r="A321" s="87"/>
      <c r="D321" s="88"/>
    </row>
    <row r="322">
      <c r="A322" s="87"/>
      <c r="D322" s="88"/>
    </row>
    <row r="323">
      <c r="A323" s="87"/>
      <c r="D323" s="88"/>
    </row>
    <row r="324">
      <c r="A324" s="87"/>
      <c r="D324" s="88"/>
    </row>
    <row r="325">
      <c r="A325" s="87"/>
      <c r="D325" s="88"/>
    </row>
    <row r="326">
      <c r="A326" s="87"/>
      <c r="D326" s="88"/>
    </row>
    <row r="327">
      <c r="A327" s="87"/>
      <c r="D327" s="88"/>
    </row>
    <row r="328">
      <c r="A328" s="87"/>
      <c r="D328" s="88"/>
    </row>
    <row r="329">
      <c r="A329" s="87"/>
      <c r="D329" s="88"/>
    </row>
    <row r="330">
      <c r="A330" s="87"/>
      <c r="D330" s="88"/>
    </row>
    <row r="331">
      <c r="A331" s="87"/>
      <c r="D331" s="88"/>
    </row>
    <row r="332">
      <c r="A332" s="87"/>
      <c r="D332" s="88"/>
    </row>
    <row r="333">
      <c r="A333" s="87"/>
      <c r="D333" s="88"/>
    </row>
    <row r="334">
      <c r="A334" s="87"/>
      <c r="D334" s="88"/>
    </row>
    <row r="335">
      <c r="A335" s="87"/>
      <c r="D335" s="88"/>
    </row>
    <row r="336">
      <c r="A336" s="87"/>
      <c r="D336" s="88"/>
    </row>
    <row r="337">
      <c r="A337" s="87"/>
      <c r="D337" s="88"/>
    </row>
    <row r="338">
      <c r="A338" s="87"/>
      <c r="D338" s="88"/>
    </row>
    <row r="339">
      <c r="A339" s="87"/>
      <c r="D339" s="88"/>
    </row>
    <row r="340">
      <c r="A340" s="87"/>
      <c r="D340" s="88"/>
    </row>
    <row r="341">
      <c r="A341" s="87"/>
      <c r="D341" s="88"/>
    </row>
    <row r="342">
      <c r="A342" s="87"/>
      <c r="D342" s="88"/>
    </row>
    <row r="343">
      <c r="A343" s="87"/>
      <c r="D343" s="88"/>
    </row>
    <row r="344">
      <c r="A344" s="87"/>
      <c r="D344" s="88"/>
    </row>
    <row r="345">
      <c r="A345" s="87"/>
      <c r="D345" s="88"/>
    </row>
    <row r="346">
      <c r="A346" s="87"/>
      <c r="D346" s="88"/>
    </row>
    <row r="347">
      <c r="A347" s="87"/>
      <c r="D347" s="88"/>
    </row>
    <row r="348">
      <c r="A348" s="87"/>
      <c r="D348" s="88"/>
    </row>
    <row r="349">
      <c r="A349" s="87"/>
      <c r="D349" s="88"/>
    </row>
    <row r="350">
      <c r="A350" s="87"/>
      <c r="D350" s="88"/>
    </row>
    <row r="351">
      <c r="A351" s="87"/>
      <c r="D351" s="88"/>
    </row>
    <row r="352">
      <c r="A352" s="87"/>
      <c r="D352" s="88"/>
    </row>
    <row r="353">
      <c r="A353" s="87"/>
      <c r="D353" s="88"/>
    </row>
    <row r="354">
      <c r="A354" s="87"/>
      <c r="D354" s="88"/>
    </row>
    <row r="355">
      <c r="A355" s="87"/>
      <c r="D355" s="88"/>
    </row>
    <row r="356">
      <c r="A356" s="87"/>
      <c r="D356" s="88"/>
    </row>
    <row r="357">
      <c r="A357" s="87"/>
      <c r="D357" s="88"/>
    </row>
    <row r="358">
      <c r="A358" s="87"/>
      <c r="D358" s="88"/>
    </row>
    <row r="359">
      <c r="A359" s="87"/>
      <c r="D359" s="88"/>
    </row>
    <row r="360">
      <c r="A360" s="87"/>
      <c r="D360" s="88"/>
    </row>
    <row r="361">
      <c r="A361" s="87"/>
      <c r="D361" s="88"/>
    </row>
    <row r="362">
      <c r="A362" s="87"/>
      <c r="D362" s="88"/>
    </row>
    <row r="363">
      <c r="A363" s="87"/>
      <c r="D363" s="88"/>
    </row>
    <row r="364">
      <c r="A364" s="87"/>
      <c r="D364" s="88"/>
    </row>
    <row r="365">
      <c r="A365" s="87"/>
      <c r="D365" s="88"/>
    </row>
    <row r="366">
      <c r="A366" s="87"/>
      <c r="D366" s="88"/>
    </row>
    <row r="367">
      <c r="A367" s="87"/>
      <c r="D367" s="88"/>
    </row>
    <row r="368">
      <c r="A368" s="87"/>
      <c r="D368" s="88"/>
    </row>
    <row r="369">
      <c r="A369" s="87"/>
      <c r="D369" s="88"/>
    </row>
    <row r="370">
      <c r="A370" s="87"/>
      <c r="D370" s="88"/>
    </row>
    <row r="371">
      <c r="A371" s="87"/>
      <c r="D371" s="88"/>
    </row>
    <row r="372">
      <c r="A372" s="87"/>
      <c r="D372" s="88"/>
    </row>
    <row r="373">
      <c r="A373" s="87"/>
      <c r="D373" s="88"/>
    </row>
    <row r="374">
      <c r="A374" s="87"/>
      <c r="D374" s="88"/>
    </row>
    <row r="375">
      <c r="A375" s="87"/>
      <c r="D375" s="88"/>
    </row>
    <row r="376">
      <c r="A376" s="87"/>
      <c r="D376" s="88"/>
    </row>
    <row r="377">
      <c r="A377" s="87"/>
      <c r="D377" s="88"/>
    </row>
    <row r="378">
      <c r="A378" s="87"/>
      <c r="D378" s="88"/>
    </row>
    <row r="379">
      <c r="A379" s="87"/>
      <c r="D379" s="88"/>
    </row>
    <row r="380">
      <c r="A380" s="87"/>
      <c r="D380" s="88"/>
    </row>
    <row r="381">
      <c r="A381" s="87"/>
      <c r="D381" s="88"/>
    </row>
    <row r="382">
      <c r="A382" s="87"/>
      <c r="D382" s="88"/>
    </row>
    <row r="383">
      <c r="A383" s="87"/>
      <c r="D383" s="88"/>
    </row>
    <row r="384">
      <c r="A384" s="87"/>
      <c r="D384" s="88"/>
    </row>
    <row r="385">
      <c r="A385" s="87"/>
      <c r="D385" s="88"/>
    </row>
    <row r="386">
      <c r="A386" s="87"/>
      <c r="D386" s="88"/>
    </row>
    <row r="387">
      <c r="A387" s="87"/>
      <c r="D387" s="88"/>
    </row>
    <row r="388">
      <c r="A388" s="87"/>
      <c r="D388" s="88"/>
    </row>
    <row r="389">
      <c r="A389" s="87"/>
      <c r="D389" s="88"/>
    </row>
    <row r="390">
      <c r="A390" s="87"/>
      <c r="D390" s="88"/>
    </row>
    <row r="391">
      <c r="A391" s="87"/>
      <c r="D391" s="88"/>
    </row>
    <row r="392">
      <c r="A392" s="87"/>
      <c r="D392" s="88"/>
    </row>
    <row r="393">
      <c r="A393" s="87"/>
      <c r="D393" s="88"/>
    </row>
    <row r="394">
      <c r="A394" s="87"/>
      <c r="D394" s="88"/>
    </row>
    <row r="395">
      <c r="A395" s="87"/>
      <c r="D395" s="88"/>
    </row>
    <row r="396">
      <c r="A396" s="87"/>
      <c r="D396" s="88"/>
    </row>
    <row r="397">
      <c r="A397" s="87"/>
      <c r="D397" s="88"/>
    </row>
    <row r="398">
      <c r="A398" s="87"/>
      <c r="D398" s="88"/>
    </row>
    <row r="399">
      <c r="A399" s="87"/>
      <c r="D399" s="88"/>
    </row>
    <row r="400">
      <c r="A400" s="87"/>
      <c r="D400" s="88"/>
    </row>
    <row r="401">
      <c r="A401" s="87"/>
      <c r="D401" s="88"/>
    </row>
    <row r="402">
      <c r="A402" s="87"/>
      <c r="D402" s="88"/>
    </row>
    <row r="403">
      <c r="A403" s="87"/>
      <c r="D403" s="88"/>
    </row>
    <row r="404">
      <c r="A404" s="87"/>
      <c r="D404" s="88"/>
    </row>
    <row r="405">
      <c r="A405" s="87"/>
      <c r="D405" s="88"/>
    </row>
    <row r="406">
      <c r="A406" s="87"/>
      <c r="D406" s="88"/>
    </row>
    <row r="407">
      <c r="A407" s="87"/>
      <c r="D407" s="88"/>
    </row>
    <row r="408">
      <c r="A408" s="87"/>
      <c r="D408" s="88"/>
    </row>
    <row r="409">
      <c r="A409" s="87"/>
      <c r="D409" s="88"/>
    </row>
    <row r="410">
      <c r="A410" s="87"/>
      <c r="D410" s="88"/>
    </row>
    <row r="411">
      <c r="A411" s="87"/>
      <c r="D411" s="88"/>
    </row>
    <row r="412">
      <c r="A412" s="87"/>
      <c r="D412" s="88"/>
    </row>
    <row r="413">
      <c r="A413" s="87"/>
      <c r="D413" s="88"/>
    </row>
    <row r="414">
      <c r="A414" s="87"/>
      <c r="D414" s="88"/>
    </row>
    <row r="415">
      <c r="A415" s="87"/>
      <c r="D415" s="88"/>
    </row>
    <row r="416">
      <c r="A416" s="87"/>
      <c r="D416" s="88"/>
    </row>
    <row r="417">
      <c r="A417" s="87"/>
      <c r="D417" s="88"/>
    </row>
    <row r="418">
      <c r="A418" s="87"/>
      <c r="D418" s="88"/>
    </row>
    <row r="419">
      <c r="A419" s="87"/>
      <c r="D419" s="88"/>
    </row>
    <row r="420">
      <c r="A420" s="87"/>
      <c r="D420" s="88"/>
    </row>
    <row r="421">
      <c r="A421" s="87"/>
      <c r="D421" s="88"/>
    </row>
    <row r="422">
      <c r="A422" s="87"/>
      <c r="D422" s="88"/>
    </row>
    <row r="423">
      <c r="A423" s="87"/>
      <c r="D423" s="88"/>
    </row>
    <row r="424">
      <c r="A424" s="87"/>
      <c r="D424" s="88"/>
    </row>
    <row r="425">
      <c r="A425" s="87"/>
      <c r="D425" s="88"/>
    </row>
    <row r="426">
      <c r="A426" s="87"/>
      <c r="D426" s="88"/>
    </row>
    <row r="427">
      <c r="A427" s="87"/>
      <c r="D427" s="88"/>
    </row>
    <row r="428">
      <c r="A428" s="87"/>
      <c r="D428" s="88"/>
    </row>
    <row r="429">
      <c r="A429" s="87"/>
      <c r="D429" s="88"/>
    </row>
    <row r="430">
      <c r="A430" s="87"/>
      <c r="D430" s="88"/>
    </row>
    <row r="431">
      <c r="A431" s="87"/>
      <c r="D431" s="88"/>
    </row>
    <row r="432">
      <c r="A432" s="87"/>
      <c r="D432" s="88"/>
    </row>
    <row r="433">
      <c r="A433" s="87"/>
      <c r="D433" s="88"/>
    </row>
    <row r="434">
      <c r="A434" s="87"/>
      <c r="D434" s="88"/>
    </row>
    <row r="435">
      <c r="A435" s="87"/>
      <c r="D435" s="88"/>
    </row>
    <row r="436">
      <c r="A436" s="87"/>
      <c r="D436" s="88"/>
    </row>
    <row r="437">
      <c r="A437" s="87"/>
      <c r="D437" s="88"/>
    </row>
    <row r="438">
      <c r="A438" s="87"/>
      <c r="D438" s="88"/>
    </row>
    <row r="439">
      <c r="A439" s="87"/>
      <c r="D439" s="88"/>
    </row>
    <row r="440">
      <c r="A440" s="87"/>
      <c r="D440" s="88"/>
    </row>
    <row r="441">
      <c r="A441" s="87"/>
      <c r="D441" s="88"/>
    </row>
    <row r="442">
      <c r="A442" s="87"/>
      <c r="D442" s="88"/>
    </row>
    <row r="443">
      <c r="A443" s="87"/>
      <c r="D443" s="88"/>
    </row>
    <row r="444">
      <c r="A444" s="87"/>
      <c r="D444" s="88"/>
    </row>
    <row r="445">
      <c r="A445" s="87"/>
      <c r="D445" s="88"/>
    </row>
    <row r="446">
      <c r="A446" s="87"/>
      <c r="D446" s="88"/>
    </row>
    <row r="447">
      <c r="A447" s="87"/>
      <c r="D447" s="88"/>
    </row>
    <row r="448">
      <c r="A448" s="87"/>
      <c r="D448" s="88"/>
    </row>
    <row r="449">
      <c r="A449" s="87"/>
      <c r="D449" s="88"/>
    </row>
    <row r="450">
      <c r="A450" s="87"/>
      <c r="D450" s="88"/>
    </row>
    <row r="451">
      <c r="A451" s="87"/>
      <c r="D451" s="88"/>
    </row>
    <row r="452">
      <c r="A452" s="87"/>
      <c r="D452" s="88"/>
    </row>
    <row r="453">
      <c r="A453" s="87"/>
      <c r="D453" s="88"/>
    </row>
    <row r="454">
      <c r="A454" s="87"/>
      <c r="D454" s="88"/>
    </row>
    <row r="455">
      <c r="A455" s="87"/>
      <c r="D455" s="88"/>
    </row>
    <row r="456">
      <c r="A456" s="87"/>
      <c r="D456" s="88"/>
    </row>
    <row r="457">
      <c r="A457" s="87"/>
      <c r="D457" s="88"/>
    </row>
    <row r="458">
      <c r="A458" s="87"/>
      <c r="D458" s="88"/>
    </row>
    <row r="459">
      <c r="A459" s="87"/>
      <c r="D459" s="88"/>
    </row>
    <row r="460">
      <c r="A460" s="87"/>
      <c r="D460" s="88"/>
    </row>
    <row r="461">
      <c r="A461" s="87"/>
      <c r="D461" s="88"/>
    </row>
    <row r="462">
      <c r="A462" s="87"/>
      <c r="D462" s="88"/>
    </row>
    <row r="463">
      <c r="A463" s="87"/>
      <c r="D463" s="88"/>
    </row>
    <row r="464">
      <c r="A464" s="87"/>
      <c r="D464" s="88"/>
    </row>
    <row r="465">
      <c r="A465" s="87"/>
      <c r="D465" s="88"/>
    </row>
    <row r="466">
      <c r="A466" s="87"/>
      <c r="D466" s="88"/>
    </row>
    <row r="467">
      <c r="A467" s="87"/>
      <c r="D467" s="88"/>
    </row>
    <row r="468">
      <c r="A468" s="87"/>
      <c r="D468" s="88"/>
    </row>
    <row r="469">
      <c r="A469" s="87"/>
      <c r="D469" s="88"/>
    </row>
    <row r="470">
      <c r="A470" s="87"/>
      <c r="D470" s="88"/>
    </row>
    <row r="471">
      <c r="A471" s="87"/>
      <c r="D471" s="88"/>
    </row>
    <row r="472">
      <c r="A472" s="87"/>
      <c r="D472" s="88"/>
    </row>
    <row r="473">
      <c r="A473" s="87"/>
      <c r="D473" s="88"/>
    </row>
    <row r="474">
      <c r="A474" s="87"/>
      <c r="D474" s="88"/>
    </row>
    <row r="475">
      <c r="A475" s="87"/>
      <c r="D475" s="88"/>
    </row>
    <row r="476">
      <c r="A476" s="87"/>
      <c r="D476" s="88"/>
    </row>
    <row r="477">
      <c r="A477" s="87"/>
      <c r="D477" s="88"/>
    </row>
    <row r="478">
      <c r="A478" s="87"/>
      <c r="D478" s="88"/>
    </row>
    <row r="479">
      <c r="A479" s="87"/>
      <c r="D479" s="88"/>
    </row>
    <row r="480">
      <c r="A480" s="87"/>
      <c r="D480" s="88"/>
    </row>
    <row r="481">
      <c r="A481" s="87"/>
      <c r="D481" s="88"/>
    </row>
    <row r="482">
      <c r="A482" s="87"/>
      <c r="D482" s="88"/>
    </row>
    <row r="483">
      <c r="A483" s="87"/>
      <c r="D483" s="88"/>
    </row>
    <row r="484">
      <c r="A484" s="87"/>
      <c r="D484" s="88"/>
    </row>
    <row r="485">
      <c r="A485" s="87"/>
      <c r="D485" s="88"/>
    </row>
    <row r="486">
      <c r="A486" s="87"/>
      <c r="D486" s="88"/>
    </row>
    <row r="487">
      <c r="A487" s="87"/>
      <c r="D487" s="88"/>
    </row>
    <row r="488">
      <c r="A488" s="87"/>
      <c r="D488" s="88"/>
    </row>
    <row r="489">
      <c r="A489" s="87"/>
      <c r="D489" s="88"/>
    </row>
    <row r="490">
      <c r="A490" s="87"/>
      <c r="D490" s="88"/>
    </row>
    <row r="491">
      <c r="A491" s="87"/>
      <c r="D491" s="88"/>
    </row>
    <row r="492">
      <c r="A492" s="87"/>
      <c r="D492" s="88"/>
    </row>
    <row r="493">
      <c r="A493" s="87"/>
      <c r="D493" s="88"/>
    </row>
    <row r="494">
      <c r="A494" s="87"/>
      <c r="D494" s="88"/>
    </row>
    <row r="495">
      <c r="A495" s="87"/>
      <c r="D495" s="88"/>
    </row>
    <row r="496">
      <c r="A496" s="87"/>
      <c r="D496" s="88"/>
    </row>
    <row r="497">
      <c r="A497" s="87"/>
      <c r="D497" s="88"/>
    </row>
    <row r="498">
      <c r="A498" s="87"/>
      <c r="D498" s="88"/>
    </row>
    <row r="499">
      <c r="A499" s="87"/>
      <c r="D499" s="88"/>
    </row>
    <row r="500">
      <c r="A500" s="87"/>
      <c r="D500" s="88"/>
    </row>
    <row r="501">
      <c r="A501" s="87"/>
      <c r="D501" s="88"/>
    </row>
    <row r="502">
      <c r="A502" s="87"/>
      <c r="D502" s="88"/>
    </row>
    <row r="503">
      <c r="A503" s="87"/>
      <c r="D503" s="88"/>
    </row>
    <row r="504">
      <c r="A504" s="87"/>
      <c r="D504" s="88"/>
    </row>
    <row r="505">
      <c r="A505" s="87"/>
      <c r="D505" s="88"/>
    </row>
    <row r="506">
      <c r="A506" s="87"/>
      <c r="D506" s="88"/>
    </row>
    <row r="507">
      <c r="A507" s="87"/>
      <c r="D507" s="88"/>
    </row>
    <row r="508">
      <c r="A508" s="87"/>
      <c r="D508" s="88"/>
    </row>
    <row r="509">
      <c r="A509" s="87"/>
      <c r="D509" s="88"/>
    </row>
    <row r="510">
      <c r="A510" s="87"/>
      <c r="D510" s="88"/>
    </row>
    <row r="511">
      <c r="A511" s="87"/>
      <c r="D511" s="88"/>
    </row>
    <row r="512">
      <c r="A512" s="87"/>
      <c r="D512" s="88"/>
    </row>
    <row r="513">
      <c r="A513" s="87"/>
      <c r="D513" s="88"/>
    </row>
    <row r="514">
      <c r="A514" s="87"/>
      <c r="D514" s="88"/>
    </row>
    <row r="515">
      <c r="A515" s="87"/>
      <c r="D515" s="88"/>
    </row>
    <row r="516">
      <c r="A516" s="87"/>
      <c r="D516" s="88"/>
    </row>
    <row r="517">
      <c r="A517" s="87"/>
      <c r="D517" s="88"/>
    </row>
    <row r="518">
      <c r="A518" s="87"/>
      <c r="D518" s="88"/>
    </row>
    <row r="519">
      <c r="A519" s="87"/>
      <c r="D519" s="88"/>
    </row>
    <row r="520">
      <c r="A520" s="87"/>
      <c r="D520" s="88"/>
    </row>
    <row r="521">
      <c r="A521" s="87"/>
      <c r="D521" s="88"/>
    </row>
    <row r="522">
      <c r="A522" s="87"/>
      <c r="D522" s="88"/>
    </row>
    <row r="523">
      <c r="A523" s="87"/>
      <c r="D523" s="88"/>
    </row>
    <row r="524">
      <c r="A524" s="87"/>
      <c r="D524" s="88"/>
    </row>
    <row r="525">
      <c r="A525" s="87"/>
      <c r="D525" s="88"/>
    </row>
    <row r="526">
      <c r="A526" s="87"/>
      <c r="D526" s="88"/>
    </row>
    <row r="527">
      <c r="A527" s="87"/>
      <c r="D527" s="88"/>
    </row>
    <row r="528">
      <c r="A528" s="87"/>
      <c r="D528" s="88"/>
    </row>
    <row r="529">
      <c r="A529" s="87"/>
      <c r="D529" s="88"/>
    </row>
    <row r="530">
      <c r="A530" s="87"/>
      <c r="D530" s="88"/>
    </row>
    <row r="531">
      <c r="A531" s="87"/>
      <c r="D531" s="88"/>
    </row>
    <row r="532">
      <c r="A532" s="87"/>
      <c r="D532" s="88"/>
    </row>
    <row r="533">
      <c r="A533" s="87"/>
      <c r="D533" s="88"/>
    </row>
    <row r="534">
      <c r="A534" s="87"/>
      <c r="D534" s="88"/>
    </row>
    <row r="535">
      <c r="A535" s="87"/>
      <c r="D535" s="88"/>
    </row>
    <row r="536">
      <c r="A536" s="87"/>
      <c r="D536" s="88"/>
    </row>
    <row r="537">
      <c r="A537" s="87"/>
      <c r="D537" s="88"/>
    </row>
    <row r="538">
      <c r="A538" s="87"/>
      <c r="D538" s="88"/>
    </row>
    <row r="539">
      <c r="A539" s="87"/>
      <c r="D539" s="88"/>
    </row>
    <row r="540">
      <c r="A540" s="87"/>
      <c r="D540" s="88"/>
    </row>
    <row r="541">
      <c r="A541" s="87"/>
      <c r="D541" s="88"/>
    </row>
    <row r="542">
      <c r="A542" s="87"/>
      <c r="D542" s="88"/>
    </row>
    <row r="543">
      <c r="A543" s="87"/>
      <c r="D543" s="88"/>
    </row>
    <row r="544">
      <c r="A544" s="87"/>
      <c r="D544" s="88"/>
    </row>
    <row r="545">
      <c r="A545" s="87"/>
      <c r="D545" s="88"/>
    </row>
    <row r="546">
      <c r="A546" s="87"/>
      <c r="D546" s="88"/>
    </row>
    <row r="547">
      <c r="A547" s="87"/>
      <c r="D547" s="88"/>
    </row>
    <row r="548">
      <c r="A548" s="87"/>
      <c r="D548" s="88"/>
    </row>
    <row r="549">
      <c r="A549" s="87"/>
      <c r="D549" s="88"/>
    </row>
    <row r="550">
      <c r="A550" s="87"/>
      <c r="D550" s="88"/>
    </row>
    <row r="551">
      <c r="A551" s="87"/>
      <c r="D551" s="88"/>
    </row>
    <row r="552">
      <c r="A552" s="87"/>
      <c r="D552" s="88"/>
    </row>
    <row r="553">
      <c r="A553" s="87"/>
      <c r="D553" s="88"/>
    </row>
    <row r="554">
      <c r="A554" s="87"/>
      <c r="D554" s="88"/>
    </row>
    <row r="555">
      <c r="A555" s="87"/>
      <c r="D555" s="88"/>
    </row>
    <row r="556">
      <c r="A556" s="87"/>
      <c r="D556" s="88"/>
    </row>
    <row r="557">
      <c r="A557" s="87"/>
      <c r="D557" s="88"/>
    </row>
    <row r="558">
      <c r="A558" s="87"/>
      <c r="D558" s="88"/>
    </row>
    <row r="559">
      <c r="A559" s="87"/>
      <c r="D559" s="88"/>
    </row>
    <row r="560">
      <c r="A560" s="87"/>
      <c r="D560" s="88"/>
    </row>
    <row r="561">
      <c r="A561" s="87"/>
      <c r="D561" s="88"/>
    </row>
    <row r="562">
      <c r="A562" s="87"/>
      <c r="D562" s="88"/>
    </row>
    <row r="563">
      <c r="A563" s="87"/>
      <c r="D563" s="88"/>
    </row>
    <row r="564">
      <c r="A564" s="87"/>
      <c r="D564" s="88"/>
    </row>
    <row r="565">
      <c r="A565" s="87"/>
      <c r="D565" s="88"/>
    </row>
    <row r="566">
      <c r="A566" s="87"/>
      <c r="D566" s="88"/>
    </row>
    <row r="567">
      <c r="A567" s="87"/>
      <c r="D567" s="88"/>
    </row>
    <row r="568">
      <c r="A568" s="87"/>
      <c r="D568" s="88"/>
    </row>
    <row r="569">
      <c r="A569" s="87"/>
      <c r="D569" s="88"/>
    </row>
    <row r="570">
      <c r="A570" s="87"/>
      <c r="D570" s="88"/>
    </row>
    <row r="571">
      <c r="A571" s="87"/>
      <c r="D571" s="88"/>
    </row>
    <row r="572">
      <c r="A572" s="87"/>
      <c r="D572" s="88"/>
    </row>
    <row r="573">
      <c r="A573" s="87"/>
      <c r="D573" s="88"/>
    </row>
    <row r="574">
      <c r="A574" s="87"/>
      <c r="D574" s="88"/>
    </row>
    <row r="575">
      <c r="A575" s="87"/>
      <c r="D575" s="88"/>
    </row>
    <row r="576">
      <c r="A576" s="87"/>
      <c r="D576" s="88"/>
    </row>
    <row r="577">
      <c r="A577" s="87"/>
      <c r="D577" s="88"/>
    </row>
    <row r="578">
      <c r="A578" s="87"/>
      <c r="D578" s="88"/>
    </row>
    <row r="579">
      <c r="A579" s="87"/>
      <c r="D579" s="88"/>
    </row>
    <row r="580">
      <c r="A580" s="87"/>
      <c r="D580" s="88"/>
    </row>
    <row r="581">
      <c r="A581" s="87"/>
      <c r="D581" s="88"/>
    </row>
    <row r="582">
      <c r="A582" s="87"/>
      <c r="D582" s="88"/>
    </row>
    <row r="583">
      <c r="A583" s="87"/>
      <c r="D583" s="88"/>
    </row>
    <row r="584">
      <c r="A584" s="87"/>
      <c r="D584" s="88"/>
    </row>
    <row r="585">
      <c r="A585" s="87"/>
      <c r="D585" s="88"/>
    </row>
    <row r="586">
      <c r="A586" s="87"/>
      <c r="D586" s="88"/>
    </row>
    <row r="587">
      <c r="A587" s="87"/>
      <c r="D587" s="88"/>
    </row>
    <row r="588">
      <c r="A588" s="87"/>
      <c r="D588" s="88"/>
    </row>
    <row r="589">
      <c r="A589" s="87"/>
      <c r="D589" s="88"/>
    </row>
    <row r="590">
      <c r="A590" s="87"/>
      <c r="D590" s="88"/>
    </row>
    <row r="591">
      <c r="A591" s="87"/>
      <c r="D591" s="88"/>
    </row>
    <row r="592">
      <c r="A592" s="87"/>
      <c r="D592" s="88"/>
    </row>
    <row r="593">
      <c r="A593" s="87"/>
      <c r="D593" s="88"/>
    </row>
    <row r="594">
      <c r="A594" s="87"/>
      <c r="D594" s="88"/>
    </row>
    <row r="595">
      <c r="A595" s="87"/>
      <c r="D595" s="88"/>
    </row>
    <row r="596">
      <c r="A596" s="87"/>
      <c r="D596" s="88"/>
    </row>
    <row r="597">
      <c r="A597" s="87"/>
      <c r="D597" s="88"/>
    </row>
    <row r="598">
      <c r="A598" s="87"/>
      <c r="D598" s="88"/>
    </row>
    <row r="599">
      <c r="A599" s="87"/>
      <c r="D599" s="88"/>
    </row>
    <row r="600">
      <c r="A600" s="87"/>
      <c r="D600" s="88"/>
    </row>
    <row r="601">
      <c r="A601" s="87"/>
      <c r="D601" s="88"/>
    </row>
    <row r="602">
      <c r="A602" s="87"/>
      <c r="D602" s="88"/>
    </row>
    <row r="603">
      <c r="A603" s="87"/>
      <c r="D603" s="88"/>
    </row>
    <row r="604">
      <c r="A604" s="87"/>
      <c r="D604" s="88"/>
    </row>
    <row r="605">
      <c r="A605" s="87"/>
      <c r="D605" s="88"/>
    </row>
    <row r="606">
      <c r="A606" s="87"/>
      <c r="D606" s="88"/>
    </row>
    <row r="607">
      <c r="A607" s="87"/>
      <c r="D607" s="88"/>
    </row>
    <row r="608">
      <c r="A608" s="87"/>
      <c r="D608" s="88"/>
    </row>
    <row r="609">
      <c r="A609" s="87"/>
      <c r="D609" s="88"/>
    </row>
    <row r="610">
      <c r="A610" s="87"/>
      <c r="D610" s="88"/>
    </row>
    <row r="611">
      <c r="A611" s="87"/>
      <c r="D611" s="88"/>
    </row>
    <row r="612">
      <c r="A612" s="87"/>
      <c r="D612" s="88"/>
    </row>
    <row r="613">
      <c r="A613" s="87"/>
      <c r="D613" s="88"/>
    </row>
    <row r="614">
      <c r="A614" s="87"/>
      <c r="D614" s="88"/>
    </row>
    <row r="615">
      <c r="A615" s="87"/>
      <c r="D615" s="88"/>
    </row>
    <row r="616">
      <c r="A616" s="87"/>
      <c r="D616" s="88"/>
    </row>
    <row r="617">
      <c r="A617" s="87"/>
      <c r="D617" s="88"/>
    </row>
    <row r="618">
      <c r="A618" s="87"/>
      <c r="D618" s="88"/>
    </row>
    <row r="619">
      <c r="A619" s="87"/>
      <c r="D619" s="88"/>
    </row>
    <row r="620">
      <c r="A620" s="87"/>
      <c r="D620" s="88"/>
    </row>
    <row r="621">
      <c r="A621" s="87"/>
      <c r="D621" s="88"/>
    </row>
    <row r="622">
      <c r="A622" s="87"/>
      <c r="D622" s="88"/>
    </row>
    <row r="623">
      <c r="A623" s="87"/>
      <c r="D623" s="88"/>
    </row>
    <row r="624">
      <c r="A624" s="87"/>
      <c r="D624" s="88"/>
    </row>
    <row r="625">
      <c r="A625" s="87"/>
      <c r="D625" s="88"/>
    </row>
    <row r="626">
      <c r="A626" s="87"/>
      <c r="D626" s="88"/>
    </row>
    <row r="627">
      <c r="A627" s="87"/>
      <c r="D627" s="88"/>
    </row>
    <row r="628">
      <c r="A628" s="87"/>
      <c r="D628" s="88"/>
    </row>
    <row r="629">
      <c r="A629" s="87"/>
      <c r="D629" s="88"/>
    </row>
    <row r="630">
      <c r="A630" s="87"/>
      <c r="D630" s="88"/>
    </row>
    <row r="631">
      <c r="A631" s="87"/>
      <c r="D631" s="88"/>
    </row>
    <row r="632">
      <c r="A632" s="87"/>
      <c r="D632" s="88"/>
    </row>
    <row r="633">
      <c r="A633" s="87"/>
      <c r="D633" s="88"/>
    </row>
    <row r="634">
      <c r="A634" s="87"/>
      <c r="D634" s="88"/>
    </row>
    <row r="635">
      <c r="A635" s="87"/>
      <c r="D635" s="88"/>
    </row>
    <row r="636">
      <c r="A636" s="87"/>
      <c r="D636" s="88"/>
    </row>
    <row r="637">
      <c r="A637" s="87"/>
      <c r="D637" s="88"/>
    </row>
    <row r="638">
      <c r="A638" s="87"/>
      <c r="D638" s="88"/>
    </row>
    <row r="639">
      <c r="A639" s="87"/>
      <c r="D639" s="88"/>
    </row>
    <row r="640">
      <c r="A640" s="87"/>
      <c r="D640" s="88"/>
    </row>
    <row r="641">
      <c r="A641" s="87"/>
      <c r="D641" s="88"/>
    </row>
    <row r="642">
      <c r="A642" s="87"/>
      <c r="D642" s="88"/>
    </row>
    <row r="643">
      <c r="A643" s="87"/>
      <c r="D643" s="88"/>
    </row>
    <row r="644">
      <c r="A644" s="87"/>
      <c r="D644" s="88"/>
    </row>
    <row r="645">
      <c r="A645" s="87"/>
      <c r="D645" s="88"/>
    </row>
    <row r="646">
      <c r="A646" s="87"/>
      <c r="D646" s="88"/>
    </row>
    <row r="647">
      <c r="A647" s="87"/>
      <c r="D647" s="88"/>
    </row>
    <row r="648">
      <c r="A648" s="87"/>
      <c r="D648" s="88"/>
    </row>
    <row r="649">
      <c r="A649" s="87"/>
      <c r="D649" s="88"/>
    </row>
    <row r="650">
      <c r="A650" s="87"/>
      <c r="D650" s="88"/>
    </row>
    <row r="651">
      <c r="A651" s="87"/>
      <c r="D651" s="88"/>
    </row>
    <row r="652">
      <c r="A652" s="87"/>
      <c r="D652" s="88"/>
    </row>
    <row r="653">
      <c r="A653" s="87"/>
      <c r="D653" s="88"/>
    </row>
    <row r="654">
      <c r="A654" s="87"/>
      <c r="D654" s="88"/>
    </row>
    <row r="655">
      <c r="A655" s="87"/>
      <c r="D655" s="88"/>
    </row>
    <row r="656">
      <c r="A656" s="87"/>
      <c r="D656" s="88"/>
    </row>
    <row r="657">
      <c r="A657" s="87"/>
      <c r="D657" s="88"/>
    </row>
    <row r="658">
      <c r="A658" s="87"/>
      <c r="D658" s="88"/>
    </row>
    <row r="659">
      <c r="A659" s="87"/>
      <c r="D659" s="88"/>
    </row>
    <row r="660">
      <c r="A660" s="87"/>
      <c r="D660" s="88"/>
    </row>
    <row r="661">
      <c r="A661" s="87"/>
      <c r="D661" s="88"/>
    </row>
    <row r="662">
      <c r="A662" s="87"/>
      <c r="D662" s="88"/>
    </row>
    <row r="663">
      <c r="A663" s="87"/>
      <c r="D663" s="88"/>
    </row>
    <row r="664">
      <c r="A664" s="87"/>
      <c r="D664" s="88"/>
    </row>
    <row r="665">
      <c r="A665" s="87"/>
      <c r="D665" s="88"/>
    </row>
    <row r="666">
      <c r="A666" s="87"/>
      <c r="D666" s="88"/>
    </row>
    <row r="667">
      <c r="A667" s="87"/>
      <c r="D667" s="88"/>
    </row>
    <row r="668">
      <c r="A668" s="87"/>
      <c r="D668" s="88"/>
    </row>
    <row r="669">
      <c r="A669" s="87"/>
      <c r="D669" s="88"/>
    </row>
    <row r="670">
      <c r="A670" s="87"/>
      <c r="D670" s="88"/>
    </row>
    <row r="671">
      <c r="A671" s="87"/>
      <c r="D671" s="88"/>
    </row>
    <row r="672">
      <c r="A672" s="87"/>
      <c r="D672" s="88"/>
    </row>
    <row r="673">
      <c r="A673" s="87"/>
      <c r="D673" s="88"/>
    </row>
    <row r="674">
      <c r="A674" s="87"/>
      <c r="D674" s="88"/>
    </row>
    <row r="675">
      <c r="A675" s="87"/>
      <c r="D675" s="88"/>
    </row>
    <row r="676">
      <c r="A676" s="87"/>
      <c r="D676" s="88"/>
    </row>
    <row r="677">
      <c r="A677" s="87"/>
      <c r="D677" s="88"/>
    </row>
    <row r="678">
      <c r="A678" s="87"/>
      <c r="D678" s="88"/>
    </row>
    <row r="679">
      <c r="A679" s="87"/>
      <c r="D679" s="88"/>
    </row>
    <row r="680">
      <c r="A680" s="87"/>
      <c r="D680" s="88"/>
    </row>
    <row r="681">
      <c r="A681" s="87"/>
      <c r="D681" s="88"/>
    </row>
    <row r="682">
      <c r="A682" s="87"/>
      <c r="D682" s="88"/>
    </row>
    <row r="683">
      <c r="A683" s="87"/>
      <c r="D683" s="88"/>
    </row>
    <row r="684">
      <c r="A684" s="87"/>
      <c r="D684" s="88"/>
    </row>
    <row r="685">
      <c r="A685" s="87"/>
      <c r="D685" s="88"/>
    </row>
    <row r="686">
      <c r="A686" s="87"/>
      <c r="D686" s="88"/>
    </row>
    <row r="687">
      <c r="A687" s="87"/>
      <c r="D687" s="88"/>
    </row>
    <row r="688">
      <c r="A688" s="87"/>
      <c r="D688" s="88"/>
    </row>
    <row r="689">
      <c r="A689" s="87"/>
      <c r="D689" s="88"/>
    </row>
    <row r="690">
      <c r="A690" s="87"/>
      <c r="D690" s="88"/>
    </row>
    <row r="691">
      <c r="A691" s="87"/>
      <c r="D691" s="88"/>
    </row>
    <row r="692">
      <c r="A692" s="87"/>
      <c r="D692" s="88"/>
    </row>
    <row r="693">
      <c r="A693" s="87"/>
      <c r="D693" s="88"/>
    </row>
    <row r="694">
      <c r="A694" s="87"/>
      <c r="D694" s="88"/>
    </row>
    <row r="695">
      <c r="A695" s="87"/>
      <c r="D695" s="88"/>
    </row>
    <row r="696">
      <c r="A696" s="87"/>
      <c r="D696" s="88"/>
    </row>
    <row r="697">
      <c r="A697" s="87"/>
      <c r="D697" s="88"/>
    </row>
    <row r="698">
      <c r="A698" s="87"/>
      <c r="D698" s="88"/>
    </row>
    <row r="699">
      <c r="A699" s="87"/>
      <c r="D699" s="88"/>
    </row>
    <row r="700">
      <c r="A700" s="87"/>
      <c r="D700" s="88"/>
    </row>
    <row r="701">
      <c r="A701" s="87"/>
      <c r="D701" s="88"/>
    </row>
    <row r="702">
      <c r="A702" s="87"/>
      <c r="D702" s="88"/>
    </row>
    <row r="703">
      <c r="A703" s="87"/>
      <c r="D703" s="88"/>
    </row>
    <row r="704">
      <c r="A704" s="87"/>
      <c r="D704" s="88"/>
    </row>
    <row r="705">
      <c r="A705" s="87"/>
      <c r="D705" s="88"/>
    </row>
    <row r="706">
      <c r="A706" s="87"/>
      <c r="D706" s="88"/>
    </row>
    <row r="707">
      <c r="A707" s="87"/>
      <c r="D707" s="88"/>
    </row>
    <row r="708">
      <c r="A708" s="87"/>
      <c r="D708" s="88"/>
    </row>
    <row r="709">
      <c r="A709" s="87"/>
      <c r="D709" s="88"/>
    </row>
    <row r="710">
      <c r="A710" s="87"/>
      <c r="D710" s="88"/>
    </row>
    <row r="711">
      <c r="A711" s="87"/>
      <c r="D711" s="88"/>
    </row>
    <row r="712">
      <c r="A712" s="87"/>
      <c r="D712" s="88"/>
    </row>
    <row r="713">
      <c r="A713" s="87"/>
      <c r="D713" s="88"/>
    </row>
    <row r="714">
      <c r="A714" s="87"/>
      <c r="D714" s="88"/>
    </row>
    <row r="715">
      <c r="A715" s="87"/>
      <c r="D715" s="88"/>
    </row>
    <row r="716">
      <c r="A716" s="87"/>
      <c r="D716" s="88"/>
    </row>
    <row r="717">
      <c r="A717" s="87"/>
      <c r="D717" s="88"/>
    </row>
    <row r="718">
      <c r="A718" s="87"/>
      <c r="D718" s="88"/>
    </row>
    <row r="719">
      <c r="A719" s="87"/>
      <c r="D719" s="88"/>
    </row>
    <row r="720">
      <c r="A720" s="87"/>
      <c r="D720" s="88"/>
    </row>
    <row r="721">
      <c r="A721" s="87"/>
      <c r="D721" s="88"/>
    </row>
    <row r="722">
      <c r="A722" s="87"/>
      <c r="D722" s="88"/>
    </row>
    <row r="723">
      <c r="A723" s="87"/>
      <c r="D723" s="88"/>
    </row>
    <row r="724">
      <c r="A724" s="87"/>
      <c r="D724" s="88"/>
    </row>
    <row r="725">
      <c r="A725" s="87"/>
      <c r="D725" s="88"/>
    </row>
    <row r="726">
      <c r="A726" s="87"/>
      <c r="D726" s="88"/>
    </row>
    <row r="727">
      <c r="A727" s="87"/>
      <c r="D727" s="88"/>
    </row>
    <row r="728">
      <c r="A728" s="87"/>
      <c r="D728" s="88"/>
    </row>
    <row r="729">
      <c r="A729" s="87"/>
      <c r="D729" s="88"/>
    </row>
    <row r="730">
      <c r="A730" s="87"/>
      <c r="D730" s="88"/>
    </row>
    <row r="731">
      <c r="A731" s="87"/>
      <c r="D731" s="88"/>
    </row>
    <row r="732">
      <c r="A732" s="87"/>
      <c r="D732" s="88"/>
    </row>
    <row r="733">
      <c r="A733" s="87"/>
      <c r="D733" s="88"/>
    </row>
    <row r="734">
      <c r="A734" s="87"/>
      <c r="D734" s="88"/>
    </row>
    <row r="735">
      <c r="A735" s="87"/>
      <c r="D735" s="88"/>
    </row>
    <row r="736">
      <c r="A736" s="87"/>
      <c r="D736" s="88"/>
    </row>
    <row r="737">
      <c r="A737" s="87"/>
      <c r="D737" s="88"/>
    </row>
    <row r="738">
      <c r="A738" s="87"/>
      <c r="D738" s="88"/>
    </row>
    <row r="739">
      <c r="A739" s="87"/>
      <c r="D739" s="88"/>
    </row>
    <row r="740">
      <c r="A740" s="87"/>
      <c r="D740" s="88"/>
    </row>
    <row r="741">
      <c r="A741" s="87"/>
      <c r="D741" s="88"/>
    </row>
    <row r="742">
      <c r="A742" s="87"/>
      <c r="D742" s="88"/>
    </row>
    <row r="743">
      <c r="A743" s="87"/>
      <c r="D743" s="88"/>
    </row>
    <row r="744">
      <c r="A744" s="87"/>
      <c r="D744" s="88"/>
    </row>
    <row r="745">
      <c r="A745" s="87"/>
      <c r="D745" s="88"/>
    </row>
    <row r="746">
      <c r="A746" s="87"/>
      <c r="D746" s="88"/>
    </row>
    <row r="747">
      <c r="A747" s="87"/>
      <c r="D747" s="88"/>
    </row>
    <row r="748">
      <c r="A748" s="87"/>
      <c r="D748" s="88"/>
    </row>
    <row r="749">
      <c r="A749" s="87"/>
      <c r="D749" s="88"/>
    </row>
    <row r="750">
      <c r="A750" s="87"/>
      <c r="D750" s="88"/>
    </row>
    <row r="751">
      <c r="A751" s="87"/>
      <c r="D751" s="88"/>
    </row>
    <row r="752">
      <c r="A752" s="87"/>
      <c r="D752" s="88"/>
    </row>
    <row r="753">
      <c r="A753" s="87"/>
      <c r="D753" s="88"/>
    </row>
    <row r="754">
      <c r="A754" s="87"/>
      <c r="D754" s="88"/>
    </row>
    <row r="755">
      <c r="A755" s="87"/>
      <c r="D755" s="88"/>
    </row>
    <row r="756">
      <c r="A756" s="87"/>
      <c r="D756" s="88"/>
    </row>
    <row r="757">
      <c r="A757" s="87"/>
      <c r="D757" s="88"/>
    </row>
    <row r="758">
      <c r="A758" s="87"/>
      <c r="D758" s="88"/>
    </row>
    <row r="759">
      <c r="A759" s="87"/>
      <c r="D759" s="88"/>
    </row>
    <row r="760">
      <c r="A760" s="87"/>
      <c r="D760" s="88"/>
    </row>
    <row r="761">
      <c r="A761" s="87"/>
      <c r="D761" s="88"/>
    </row>
    <row r="762">
      <c r="A762" s="87"/>
      <c r="D762" s="88"/>
    </row>
    <row r="763">
      <c r="A763" s="87"/>
      <c r="D763" s="88"/>
    </row>
    <row r="764">
      <c r="A764" s="87"/>
      <c r="D764" s="88"/>
    </row>
    <row r="765">
      <c r="A765" s="87"/>
      <c r="D765" s="88"/>
    </row>
    <row r="766">
      <c r="A766" s="87"/>
      <c r="D766" s="88"/>
    </row>
    <row r="767">
      <c r="A767" s="87"/>
      <c r="D767" s="88"/>
    </row>
    <row r="768">
      <c r="A768" s="87"/>
      <c r="D768" s="88"/>
    </row>
    <row r="769">
      <c r="A769" s="87"/>
      <c r="D769" s="88"/>
    </row>
    <row r="770">
      <c r="A770" s="87"/>
      <c r="D770" s="88"/>
    </row>
    <row r="771">
      <c r="A771" s="87"/>
      <c r="D771" s="88"/>
    </row>
    <row r="772">
      <c r="A772" s="87"/>
      <c r="D772" s="88"/>
    </row>
    <row r="773">
      <c r="A773" s="87"/>
      <c r="D773" s="88"/>
    </row>
    <row r="774">
      <c r="A774" s="87"/>
      <c r="D774" s="88"/>
    </row>
    <row r="775">
      <c r="A775" s="87"/>
      <c r="D775" s="88"/>
    </row>
    <row r="776">
      <c r="A776" s="87"/>
      <c r="D776" s="88"/>
    </row>
    <row r="777">
      <c r="A777" s="87"/>
      <c r="D777" s="88"/>
    </row>
    <row r="778">
      <c r="A778" s="87"/>
      <c r="D778" s="88"/>
    </row>
    <row r="779">
      <c r="A779" s="87"/>
      <c r="D779" s="88"/>
    </row>
    <row r="780">
      <c r="A780" s="87"/>
      <c r="D780" s="88"/>
    </row>
    <row r="781">
      <c r="A781" s="87"/>
      <c r="D781" s="88"/>
    </row>
    <row r="782">
      <c r="A782" s="87"/>
      <c r="D782" s="88"/>
    </row>
    <row r="783">
      <c r="A783" s="87"/>
      <c r="D783" s="88"/>
    </row>
    <row r="784">
      <c r="A784" s="87"/>
      <c r="D784" s="88"/>
    </row>
    <row r="785">
      <c r="A785" s="87"/>
      <c r="D785" s="88"/>
    </row>
    <row r="786">
      <c r="A786" s="87"/>
      <c r="D786" s="88"/>
    </row>
    <row r="787">
      <c r="A787" s="87"/>
      <c r="D787" s="88"/>
    </row>
    <row r="788">
      <c r="A788" s="87"/>
      <c r="D788" s="88"/>
    </row>
    <row r="789">
      <c r="A789" s="87"/>
      <c r="D789" s="88"/>
    </row>
    <row r="790">
      <c r="A790" s="87"/>
      <c r="D790" s="88"/>
    </row>
    <row r="791">
      <c r="A791" s="87"/>
      <c r="D791" s="88"/>
    </row>
    <row r="792">
      <c r="A792" s="87"/>
      <c r="D792" s="88"/>
    </row>
    <row r="793">
      <c r="A793" s="87"/>
      <c r="D793" s="88"/>
    </row>
    <row r="794">
      <c r="A794" s="87"/>
      <c r="D794" s="88"/>
    </row>
    <row r="795">
      <c r="A795" s="87"/>
      <c r="D795" s="88"/>
    </row>
    <row r="796">
      <c r="A796" s="87"/>
      <c r="D796" s="88"/>
    </row>
    <row r="797">
      <c r="A797" s="87"/>
      <c r="D797" s="88"/>
    </row>
    <row r="798">
      <c r="A798" s="87"/>
      <c r="D798" s="88"/>
    </row>
    <row r="799">
      <c r="A799" s="87"/>
      <c r="D799" s="88"/>
    </row>
    <row r="800">
      <c r="A800" s="87"/>
      <c r="D800" s="88"/>
    </row>
    <row r="801">
      <c r="A801" s="87"/>
      <c r="D801" s="88"/>
    </row>
    <row r="802">
      <c r="A802" s="87"/>
      <c r="D802" s="88"/>
    </row>
    <row r="803">
      <c r="A803" s="87"/>
      <c r="D803" s="88"/>
    </row>
    <row r="804">
      <c r="A804" s="87"/>
      <c r="D804" s="88"/>
    </row>
    <row r="805">
      <c r="A805" s="87"/>
      <c r="D805" s="88"/>
    </row>
    <row r="806">
      <c r="A806" s="87"/>
      <c r="D806" s="88"/>
    </row>
    <row r="807">
      <c r="A807" s="87"/>
      <c r="D807" s="88"/>
    </row>
    <row r="808">
      <c r="A808" s="87"/>
      <c r="D808" s="88"/>
    </row>
    <row r="809">
      <c r="A809" s="87"/>
      <c r="D809" s="88"/>
    </row>
    <row r="810">
      <c r="A810" s="87"/>
      <c r="D810" s="88"/>
    </row>
    <row r="811">
      <c r="A811" s="87"/>
      <c r="D811" s="88"/>
    </row>
    <row r="812">
      <c r="A812" s="87"/>
      <c r="D812" s="88"/>
    </row>
    <row r="813">
      <c r="A813" s="87"/>
      <c r="D813" s="88"/>
    </row>
    <row r="814">
      <c r="A814" s="87"/>
      <c r="D814" s="88"/>
    </row>
    <row r="815">
      <c r="A815" s="87"/>
      <c r="D815" s="88"/>
    </row>
    <row r="816">
      <c r="A816" s="87"/>
      <c r="D816" s="88"/>
    </row>
    <row r="817">
      <c r="A817" s="87"/>
      <c r="D817" s="88"/>
    </row>
    <row r="818">
      <c r="A818" s="87"/>
      <c r="D818" s="88"/>
    </row>
    <row r="819">
      <c r="A819" s="87"/>
      <c r="D819" s="88"/>
    </row>
    <row r="820">
      <c r="A820" s="87"/>
      <c r="D820" s="88"/>
    </row>
    <row r="821">
      <c r="A821" s="87"/>
      <c r="D821" s="88"/>
    </row>
    <row r="822">
      <c r="A822" s="87"/>
      <c r="D822" s="88"/>
    </row>
    <row r="823">
      <c r="A823" s="87"/>
      <c r="D823" s="88"/>
    </row>
    <row r="824">
      <c r="A824" s="87"/>
      <c r="D824" s="88"/>
    </row>
    <row r="825">
      <c r="A825" s="87"/>
      <c r="D825" s="88"/>
    </row>
    <row r="826">
      <c r="A826" s="87"/>
      <c r="D826" s="88"/>
    </row>
    <row r="827">
      <c r="A827" s="87"/>
      <c r="D827" s="88"/>
    </row>
    <row r="828">
      <c r="A828" s="87"/>
      <c r="D828" s="88"/>
    </row>
    <row r="829">
      <c r="A829" s="87"/>
      <c r="D829" s="88"/>
    </row>
    <row r="830">
      <c r="A830" s="87"/>
      <c r="D830" s="88"/>
    </row>
    <row r="831">
      <c r="A831" s="87"/>
      <c r="D831" s="88"/>
    </row>
    <row r="832">
      <c r="A832" s="87"/>
      <c r="D832" s="88"/>
    </row>
    <row r="833">
      <c r="A833" s="87"/>
      <c r="D833" s="88"/>
    </row>
    <row r="834">
      <c r="A834" s="87"/>
      <c r="D834" s="88"/>
    </row>
    <row r="835">
      <c r="A835" s="87"/>
      <c r="D835" s="88"/>
    </row>
    <row r="836">
      <c r="A836" s="87"/>
      <c r="D836" s="88"/>
    </row>
    <row r="837">
      <c r="A837" s="87"/>
      <c r="D837" s="88"/>
    </row>
    <row r="838">
      <c r="A838" s="87"/>
      <c r="D838" s="88"/>
    </row>
    <row r="839">
      <c r="A839" s="87"/>
      <c r="D839" s="88"/>
    </row>
    <row r="840">
      <c r="A840" s="87"/>
      <c r="D840" s="88"/>
    </row>
    <row r="841">
      <c r="A841" s="87"/>
      <c r="D841" s="88"/>
    </row>
    <row r="842">
      <c r="A842" s="87"/>
      <c r="D842" s="88"/>
    </row>
    <row r="843">
      <c r="A843" s="87"/>
      <c r="D843" s="88"/>
    </row>
    <row r="844">
      <c r="A844" s="87"/>
      <c r="D844" s="88"/>
    </row>
    <row r="845">
      <c r="A845" s="87"/>
      <c r="D845" s="88"/>
    </row>
    <row r="846">
      <c r="A846" s="87"/>
      <c r="D846" s="88"/>
    </row>
    <row r="847">
      <c r="A847" s="87"/>
      <c r="D847" s="88"/>
    </row>
    <row r="848">
      <c r="A848" s="87"/>
      <c r="D848" s="88"/>
    </row>
    <row r="849">
      <c r="A849" s="87"/>
      <c r="D849" s="88"/>
    </row>
    <row r="850">
      <c r="A850" s="87"/>
      <c r="D850" s="88"/>
    </row>
    <row r="851">
      <c r="A851" s="87"/>
      <c r="D851" s="88"/>
    </row>
    <row r="852">
      <c r="A852" s="87"/>
      <c r="D852" s="88"/>
    </row>
    <row r="853">
      <c r="A853" s="87"/>
      <c r="D853" s="88"/>
    </row>
    <row r="854">
      <c r="A854" s="87"/>
      <c r="D854" s="88"/>
    </row>
    <row r="855">
      <c r="A855" s="87"/>
      <c r="D855" s="88"/>
    </row>
    <row r="856">
      <c r="A856" s="87"/>
      <c r="D856" s="88"/>
    </row>
    <row r="857">
      <c r="A857" s="87"/>
      <c r="D857" s="88"/>
    </row>
    <row r="858">
      <c r="A858" s="87"/>
      <c r="D858" s="88"/>
    </row>
    <row r="859">
      <c r="A859" s="87"/>
      <c r="D859" s="88"/>
    </row>
    <row r="860">
      <c r="A860" s="87"/>
      <c r="D860" s="88"/>
    </row>
    <row r="861">
      <c r="A861" s="87"/>
      <c r="D861" s="88"/>
    </row>
    <row r="862">
      <c r="A862" s="87"/>
      <c r="D862" s="88"/>
    </row>
    <row r="863">
      <c r="A863" s="87"/>
      <c r="D863" s="88"/>
    </row>
    <row r="864">
      <c r="A864" s="87"/>
      <c r="D864" s="88"/>
    </row>
    <row r="865">
      <c r="A865" s="87"/>
      <c r="D865" s="88"/>
    </row>
    <row r="866">
      <c r="A866" s="87"/>
      <c r="D866" s="88"/>
    </row>
    <row r="867">
      <c r="A867" s="87"/>
      <c r="D867" s="88"/>
    </row>
    <row r="868">
      <c r="A868" s="87"/>
      <c r="D868" s="88"/>
    </row>
    <row r="869">
      <c r="A869" s="87"/>
      <c r="D869" s="88"/>
    </row>
    <row r="870">
      <c r="A870" s="87"/>
      <c r="D870" s="88"/>
    </row>
    <row r="871">
      <c r="A871" s="87"/>
      <c r="D871" s="88"/>
    </row>
    <row r="872">
      <c r="A872" s="87"/>
      <c r="D872" s="88"/>
    </row>
    <row r="873">
      <c r="A873" s="87"/>
      <c r="D873" s="88"/>
    </row>
    <row r="874">
      <c r="A874" s="87"/>
      <c r="D874" s="88"/>
    </row>
    <row r="875">
      <c r="A875" s="87"/>
      <c r="D875" s="88"/>
    </row>
    <row r="876">
      <c r="A876" s="87"/>
      <c r="D876" s="88"/>
    </row>
    <row r="877">
      <c r="A877" s="87"/>
      <c r="D877" s="88"/>
    </row>
    <row r="878">
      <c r="A878" s="87"/>
      <c r="D878" s="88"/>
    </row>
    <row r="879">
      <c r="A879" s="87"/>
      <c r="D879" s="88"/>
    </row>
    <row r="880">
      <c r="A880" s="87"/>
      <c r="D880" s="88"/>
    </row>
    <row r="881">
      <c r="A881" s="87"/>
      <c r="D881" s="88"/>
    </row>
    <row r="882">
      <c r="A882" s="87"/>
      <c r="D882" s="88"/>
    </row>
    <row r="883">
      <c r="A883" s="87"/>
      <c r="D883" s="88"/>
    </row>
    <row r="884">
      <c r="A884" s="87"/>
      <c r="D884" s="88"/>
    </row>
    <row r="885">
      <c r="A885" s="87"/>
      <c r="D885" s="88"/>
    </row>
    <row r="886">
      <c r="A886" s="87"/>
      <c r="D886" s="88"/>
    </row>
    <row r="887">
      <c r="A887" s="87"/>
      <c r="D887" s="88"/>
    </row>
    <row r="888">
      <c r="A888" s="87"/>
      <c r="D888" s="88"/>
    </row>
    <row r="889">
      <c r="A889" s="87"/>
      <c r="D889" s="88"/>
    </row>
    <row r="890">
      <c r="A890" s="87"/>
      <c r="D890" s="88"/>
    </row>
    <row r="891">
      <c r="A891" s="87"/>
      <c r="D891" s="88"/>
    </row>
    <row r="892">
      <c r="A892" s="87"/>
      <c r="D892" s="88"/>
    </row>
    <row r="893">
      <c r="A893" s="87"/>
      <c r="D893" s="88"/>
    </row>
    <row r="894">
      <c r="A894" s="87"/>
      <c r="D894" s="88"/>
    </row>
    <row r="895">
      <c r="A895" s="87"/>
      <c r="D895" s="88"/>
    </row>
    <row r="896">
      <c r="A896" s="87"/>
      <c r="D896" s="88"/>
    </row>
    <row r="897">
      <c r="A897" s="87"/>
      <c r="D897" s="88"/>
    </row>
    <row r="898">
      <c r="A898" s="87"/>
      <c r="D898" s="88"/>
    </row>
    <row r="899">
      <c r="A899" s="87"/>
      <c r="D899" s="88"/>
    </row>
    <row r="900">
      <c r="A900" s="87"/>
      <c r="D900" s="88"/>
    </row>
    <row r="901">
      <c r="A901" s="87"/>
      <c r="D901" s="88"/>
    </row>
    <row r="902">
      <c r="A902" s="87"/>
      <c r="D902" s="88"/>
    </row>
    <row r="903">
      <c r="A903" s="87"/>
      <c r="D903" s="88"/>
    </row>
    <row r="904">
      <c r="A904" s="87"/>
      <c r="D904" s="88"/>
    </row>
    <row r="905">
      <c r="A905" s="87"/>
      <c r="D905" s="88"/>
    </row>
    <row r="906">
      <c r="A906" s="87"/>
      <c r="D906" s="88"/>
    </row>
    <row r="907">
      <c r="A907" s="87"/>
      <c r="D907" s="88"/>
    </row>
    <row r="908">
      <c r="A908" s="87"/>
      <c r="D908" s="88"/>
    </row>
    <row r="909">
      <c r="A909" s="87"/>
      <c r="D909" s="88"/>
    </row>
    <row r="910">
      <c r="A910" s="87"/>
      <c r="D910" s="88"/>
    </row>
    <row r="911">
      <c r="A911" s="87"/>
      <c r="D911" s="88"/>
    </row>
    <row r="912">
      <c r="A912" s="87"/>
      <c r="D912" s="88"/>
    </row>
    <row r="913">
      <c r="A913" s="87"/>
      <c r="D913" s="88"/>
    </row>
    <row r="914">
      <c r="A914" s="87"/>
      <c r="D914" s="88"/>
    </row>
    <row r="915">
      <c r="A915" s="87"/>
      <c r="D915" s="88"/>
    </row>
    <row r="916">
      <c r="A916" s="87"/>
      <c r="D916" s="88"/>
    </row>
    <row r="917">
      <c r="A917" s="87"/>
      <c r="D917" s="88"/>
    </row>
    <row r="918">
      <c r="A918" s="87"/>
      <c r="D918" s="88"/>
    </row>
    <row r="919">
      <c r="A919" s="87"/>
      <c r="D919" s="88"/>
    </row>
    <row r="920">
      <c r="A920" s="87"/>
      <c r="D920" s="88"/>
    </row>
    <row r="921">
      <c r="A921" s="87"/>
      <c r="D921" s="88"/>
    </row>
    <row r="922">
      <c r="A922" s="87"/>
      <c r="D922" s="88"/>
    </row>
    <row r="923">
      <c r="A923" s="87"/>
      <c r="D923" s="88"/>
    </row>
    <row r="924">
      <c r="A924" s="87"/>
      <c r="D924" s="88"/>
    </row>
    <row r="925">
      <c r="A925" s="87"/>
      <c r="D925" s="88"/>
    </row>
    <row r="926">
      <c r="A926" s="87"/>
      <c r="D926" s="88"/>
    </row>
    <row r="927">
      <c r="A927" s="87"/>
      <c r="D927" s="88"/>
    </row>
    <row r="928">
      <c r="A928" s="87"/>
      <c r="D928" s="88"/>
    </row>
    <row r="929">
      <c r="A929" s="87"/>
      <c r="D929" s="88"/>
    </row>
    <row r="930">
      <c r="A930" s="87"/>
      <c r="D930" s="88"/>
    </row>
    <row r="931">
      <c r="A931" s="87"/>
      <c r="D931" s="88"/>
    </row>
    <row r="932">
      <c r="A932" s="87"/>
      <c r="D932" s="88"/>
    </row>
    <row r="933">
      <c r="A933" s="87"/>
      <c r="D933" s="88"/>
    </row>
    <row r="934">
      <c r="A934" s="87"/>
      <c r="D934" s="88"/>
    </row>
    <row r="935">
      <c r="A935" s="87"/>
      <c r="D935" s="88"/>
    </row>
    <row r="936">
      <c r="A936" s="87"/>
      <c r="D936" s="88"/>
    </row>
    <row r="937">
      <c r="A937" s="87"/>
      <c r="D937" s="88"/>
    </row>
    <row r="938">
      <c r="A938" s="87"/>
      <c r="D938" s="88"/>
    </row>
    <row r="939">
      <c r="A939" s="87"/>
      <c r="D939" s="88"/>
    </row>
    <row r="940">
      <c r="A940" s="87"/>
      <c r="D940" s="88"/>
    </row>
    <row r="941">
      <c r="A941" s="87"/>
      <c r="D941" s="88"/>
    </row>
    <row r="942">
      <c r="A942" s="87"/>
      <c r="D942" s="88"/>
    </row>
    <row r="943">
      <c r="A943" s="87"/>
      <c r="D943" s="88"/>
    </row>
    <row r="944">
      <c r="A944" s="87"/>
      <c r="D944" s="88"/>
    </row>
    <row r="945">
      <c r="A945" s="87"/>
      <c r="D945" s="88"/>
    </row>
    <row r="946">
      <c r="A946" s="87"/>
      <c r="D946" s="88"/>
    </row>
    <row r="947">
      <c r="A947" s="87"/>
      <c r="D947" s="88"/>
    </row>
    <row r="948">
      <c r="A948" s="87"/>
      <c r="D948" s="88"/>
    </row>
    <row r="949">
      <c r="A949" s="87"/>
      <c r="D949" s="88"/>
    </row>
    <row r="950">
      <c r="A950" s="87"/>
      <c r="D950" s="88"/>
    </row>
    <row r="951">
      <c r="A951" s="87"/>
      <c r="D951" s="88"/>
    </row>
    <row r="952">
      <c r="A952" s="87"/>
      <c r="D952" s="88"/>
    </row>
    <row r="953">
      <c r="A953" s="87"/>
      <c r="D953" s="88"/>
    </row>
    <row r="954">
      <c r="A954" s="87"/>
      <c r="D954" s="88"/>
    </row>
    <row r="955">
      <c r="A955" s="87"/>
      <c r="D955" s="88"/>
    </row>
    <row r="956">
      <c r="A956" s="87"/>
      <c r="D956" s="88"/>
    </row>
    <row r="957">
      <c r="A957" s="87"/>
      <c r="D957" s="88"/>
    </row>
    <row r="958">
      <c r="A958" s="87"/>
      <c r="D958" s="88"/>
    </row>
    <row r="959">
      <c r="A959" s="87"/>
      <c r="D959" s="88"/>
    </row>
    <row r="960">
      <c r="A960" s="87"/>
      <c r="D960" s="88"/>
    </row>
    <row r="961">
      <c r="A961" s="87"/>
      <c r="D961" s="88"/>
    </row>
    <row r="962">
      <c r="A962" s="87"/>
      <c r="D962" s="88"/>
    </row>
    <row r="963">
      <c r="A963" s="87"/>
      <c r="D963" s="88"/>
    </row>
    <row r="964">
      <c r="A964" s="87"/>
      <c r="D964" s="88"/>
    </row>
    <row r="965">
      <c r="A965" s="87"/>
      <c r="D965" s="88"/>
    </row>
    <row r="966">
      <c r="A966" s="87"/>
      <c r="D966" s="88"/>
    </row>
    <row r="967">
      <c r="A967" s="87"/>
      <c r="D967" s="88"/>
    </row>
    <row r="968">
      <c r="A968" s="87"/>
      <c r="D968" s="88"/>
    </row>
    <row r="969">
      <c r="A969" s="87"/>
      <c r="D969" s="88"/>
    </row>
    <row r="970">
      <c r="A970" s="87"/>
      <c r="D970" s="88"/>
    </row>
    <row r="971">
      <c r="A971" s="87"/>
      <c r="D971" s="88"/>
    </row>
    <row r="972">
      <c r="A972" s="87"/>
      <c r="D972" s="88"/>
    </row>
    <row r="973">
      <c r="A973" s="87"/>
      <c r="D973" s="88"/>
    </row>
    <row r="974">
      <c r="A974" s="87"/>
      <c r="D974" s="88"/>
    </row>
    <row r="975">
      <c r="A975" s="87"/>
      <c r="D975" s="88"/>
    </row>
    <row r="976">
      <c r="A976" s="87"/>
      <c r="D976" s="88"/>
    </row>
    <row r="977">
      <c r="A977" s="87"/>
      <c r="D977" s="88"/>
    </row>
    <row r="978">
      <c r="A978" s="87"/>
      <c r="D978" s="88"/>
    </row>
    <row r="979">
      <c r="A979" s="87"/>
      <c r="D979" s="88"/>
    </row>
    <row r="980">
      <c r="A980" s="87"/>
      <c r="D980" s="88"/>
    </row>
    <row r="981">
      <c r="A981" s="87"/>
      <c r="D981" s="88"/>
    </row>
    <row r="982">
      <c r="A982" s="87"/>
      <c r="D982" s="88"/>
    </row>
    <row r="983">
      <c r="A983" s="87"/>
      <c r="D983" s="88"/>
    </row>
    <row r="984">
      <c r="A984" s="87"/>
      <c r="D984" s="88"/>
    </row>
    <row r="985">
      <c r="A985" s="87"/>
      <c r="D985" s="88"/>
    </row>
    <row r="986">
      <c r="A986" s="87"/>
      <c r="D986" s="88"/>
    </row>
    <row r="987">
      <c r="A987" s="87"/>
      <c r="D987" s="88"/>
    </row>
    <row r="988">
      <c r="A988" s="87"/>
      <c r="D988" s="88"/>
    </row>
    <row r="989">
      <c r="A989" s="87"/>
      <c r="D989" s="88"/>
    </row>
    <row r="990">
      <c r="A990" s="87"/>
      <c r="D990" s="88"/>
    </row>
    <row r="991">
      <c r="A991" s="87"/>
      <c r="D991" s="88"/>
    </row>
    <row r="992">
      <c r="A992" s="87"/>
      <c r="D992" s="88"/>
    </row>
    <row r="993">
      <c r="A993" s="87"/>
      <c r="D993" s="88"/>
    </row>
    <row r="994">
      <c r="A994" s="87"/>
      <c r="D994" s="88"/>
    </row>
    <row r="995">
      <c r="A995" s="87"/>
      <c r="D995" s="88"/>
    </row>
    <row r="996">
      <c r="A996" s="87"/>
      <c r="D996" s="88"/>
    </row>
    <row r="997">
      <c r="A997" s="87"/>
      <c r="D997" s="88"/>
    </row>
    <row r="998">
      <c r="A998" s="87"/>
      <c r="D998" s="88"/>
    </row>
    <row r="999">
      <c r="A999" s="87"/>
      <c r="D999" s="88"/>
    </row>
    <row r="1000">
      <c r="A1000" s="87"/>
      <c r="D1000" s="88"/>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25"/>
    <col customWidth="1" min="2" max="2" width="24.63"/>
    <col customWidth="1" min="3" max="3" width="40.13"/>
    <col customWidth="1" min="4" max="4" width="26.38"/>
    <col customWidth="1" min="5" max="5" width="58.88"/>
    <col customWidth="1" min="6" max="6" width="44.75"/>
    <col customWidth="1" min="7" max="7" width="39.88"/>
    <col customWidth="1" min="8" max="8" width="21.38"/>
    <col customWidth="1" min="9" max="9" width="32.25"/>
    <col customWidth="1" min="10" max="10" width="14.75"/>
    <col customWidth="1" min="11" max="11" width="20.5"/>
    <col customWidth="1" min="12" max="12" width="63.88"/>
    <col customWidth="1" min="13" max="13" width="73.75"/>
  </cols>
  <sheetData>
    <row r="1" ht="27.75" customHeight="1">
      <c r="A1" s="95" t="s">
        <v>0</v>
      </c>
      <c r="B1" s="95" t="s">
        <v>2</v>
      </c>
      <c r="C1" s="95" t="s">
        <v>4</v>
      </c>
      <c r="D1" s="95" t="s">
        <v>5</v>
      </c>
      <c r="E1" s="95" t="s">
        <v>6</v>
      </c>
      <c r="F1" s="95" t="s">
        <v>7</v>
      </c>
      <c r="G1" s="95" t="s">
        <v>8</v>
      </c>
      <c r="H1" s="95" t="s">
        <v>9</v>
      </c>
      <c r="I1" s="95" t="s">
        <v>923</v>
      </c>
      <c r="J1" s="95" t="s">
        <v>12</v>
      </c>
      <c r="K1" s="95" t="s">
        <v>2067</v>
      </c>
      <c r="L1" s="95" t="s">
        <v>14</v>
      </c>
      <c r="M1" s="95" t="s">
        <v>15</v>
      </c>
      <c r="N1" s="96"/>
      <c r="O1" s="97"/>
      <c r="P1" s="97"/>
      <c r="Q1" s="97"/>
      <c r="R1" s="97"/>
      <c r="S1" s="97"/>
      <c r="T1" s="97"/>
      <c r="U1" s="97"/>
      <c r="V1" s="97"/>
      <c r="W1" s="97"/>
      <c r="X1" s="97"/>
      <c r="Y1" s="97"/>
      <c r="Z1" s="97"/>
    </row>
    <row r="2">
      <c r="A2" s="98" t="s">
        <v>85</v>
      </c>
      <c r="B2" s="98" t="s">
        <v>2075</v>
      </c>
      <c r="C2" s="98" t="s">
        <v>2076</v>
      </c>
      <c r="D2" s="99" t="s">
        <v>1793</v>
      </c>
      <c r="E2" s="100" t="s">
        <v>62</v>
      </c>
      <c r="F2" s="100" t="s">
        <v>68</v>
      </c>
      <c r="G2" s="98" t="s">
        <v>2081</v>
      </c>
      <c r="H2" s="98" t="s">
        <v>2082</v>
      </c>
      <c r="I2" s="98" t="s">
        <v>2083</v>
      </c>
      <c r="J2" s="98" t="s">
        <v>1800</v>
      </c>
      <c r="K2" s="98" t="s">
        <v>2084</v>
      </c>
      <c r="L2" s="100" t="s">
        <v>73</v>
      </c>
      <c r="M2" s="100" t="s">
        <v>2085</v>
      </c>
      <c r="N2" s="101"/>
    </row>
    <row r="3">
      <c r="A3" s="98" t="s">
        <v>270</v>
      </c>
      <c r="B3" s="98" t="s">
        <v>2088</v>
      </c>
      <c r="C3" s="98" t="s">
        <v>2090</v>
      </c>
      <c r="D3" s="99" t="s">
        <v>1793</v>
      </c>
      <c r="E3" s="100" t="s">
        <v>120</v>
      </c>
      <c r="F3" s="100" t="s">
        <v>125</v>
      </c>
      <c r="G3" s="98" t="s">
        <v>2091</v>
      </c>
      <c r="H3" s="98" t="s">
        <v>1799</v>
      </c>
      <c r="I3" s="98" t="s">
        <v>2092</v>
      </c>
      <c r="J3" s="98" t="s">
        <v>1800</v>
      </c>
      <c r="K3" s="98" t="s">
        <v>2084</v>
      </c>
      <c r="L3" s="100" t="s">
        <v>2093</v>
      </c>
      <c r="M3" s="100" t="s">
        <v>2094</v>
      </c>
      <c r="N3" s="101"/>
      <c r="O3" s="75" t="s">
        <v>2040</v>
      </c>
    </row>
    <row r="4">
      <c r="A4" s="98" t="s">
        <v>398</v>
      </c>
      <c r="B4" s="98" t="s">
        <v>2098</v>
      </c>
      <c r="C4" s="98" t="s">
        <v>2099</v>
      </c>
      <c r="D4" s="99" t="s">
        <v>1793</v>
      </c>
      <c r="E4" s="100" t="s">
        <v>341</v>
      </c>
      <c r="F4" s="100" t="s">
        <v>351</v>
      </c>
      <c r="G4" s="98" t="s">
        <v>2101</v>
      </c>
      <c r="H4" s="98" t="s">
        <v>2102</v>
      </c>
      <c r="I4" s="98" t="s">
        <v>2103</v>
      </c>
      <c r="J4" s="98" t="s">
        <v>1799</v>
      </c>
      <c r="K4" s="98" t="s">
        <v>2084</v>
      </c>
      <c r="L4" s="100" t="s">
        <v>2104</v>
      </c>
      <c r="M4" s="100" t="s">
        <v>2105</v>
      </c>
      <c r="N4" s="101"/>
    </row>
    <row r="5">
      <c r="A5" s="98" t="s">
        <v>475</v>
      </c>
      <c r="B5" s="98" t="s">
        <v>2106</v>
      </c>
      <c r="C5" s="98" t="s">
        <v>431</v>
      </c>
      <c r="D5" s="99" t="s">
        <v>1793</v>
      </c>
      <c r="E5" s="100" t="s">
        <v>434</v>
      </c>
      <c r="F5" s="100" t="s">
        <v>441</v>
      </c>
      <c r="G5" s="98" t="s">
        <v>2108</v>
      </c>
      <c r="H5" s="98" t="s">
        <v>1799</v>
      </c>
      <c r="I5" s="98" t="s">
        <v>2109</v>
      </c>
      <c r="J5" s="98" t="s">
        <v>1800</v>
      </c>
      <c r="K5" s="98" t="s">
        <v>2084</v>
      </c>
      <c r="L5" s="100" t="s">
        <v>2110</v>
      </c>
      <c r="M5" s="100" t="s">
        <v>2111</v>
      </c>
      <c r="N5" s="101"/>
    </row>
    <row r="6">
      <c r="A6" s="98" t="s">
        <v>535</v>
      </c>
      <c r="B6" s="98" t="s">
        <v>2112</v>
      </c>
      <c r="C6" s="98" t="s">
        <v>499</v>
      </c>
      <c r="D6" s="99" t="s">
        <v>1793</v>
      </c>
      <c r="E6" s="100" t="s">
        <v>503</v>
      </c>
      <c r="F6" s="100" t="s">
        <v>507</v>
      </c>
      <c r="G6" s="98" t="s">
        <v>2115</v>
      </c>
      <c r="H6" s="98" t="s">
        <v>1799</v>
      </c>
      <c r="I6" s="98" t="s">
        <v>2116</v>
      </c>
      <c r="J6" s="98" t="s">
        <v>1800</v>
      </c>
      <c r="K6" s="98" t="s">
        <v>2118</v>
      </c>
      <c r="L6" s="100" t="s">
        <v>2119</v>
      </c>
      <c r="M6" s="100" t="s">
        <v>2120</v>
      </c>
      <c r="N6" s="101"/>
    </row>
    <row r="7">
      <c r="A7" s="98" t="s">
        <v>571</v>
      </c>
      <c r="B7" s="98" t="s">
        <v>2121</v>
      </c>
      <c r="C7" s="98" t="s">
        <v>548</v>
      </c>
      <c r="D7" s="99" t="s">
        <v>1793</v>
      </c>
      <c r="E7" s="100" t="s">
        <v>550</v>
      </c>
      <c r="F7" s="100" t="s">
        <v>556</v>
      </c>
      <c r="G7" s="98" t="s">
        <v>2122</v>
      </c>
      <c r="H7" s="98" t="s">
        <v>2123</v>
      </c>
      <c r="I7" s="98" t="s">
        <v>2124</v>
      </c>
      <c r="J7" s="98" t="s">
        <v>1799</v>
      </c>
      <c r="K7" s="98" t="s">
        <v>2084</v>
      </c>
      <c r="L7" s="100" t="s">
        <v>2125</v>
      </c>
      <c r="M7" s="100" t="s">
        <v>2127</v>
      </c>
      <c r="N7" s="101"/>
    </row>
    <row r="8">
      <c r="A8" s="98" t="s">
        <v>622</v>
      </c>
      <c r="B8" s="98" t="s">
        <v>2128</v>
      </c>
      <c r="C8" s="98" t="s">
        <v>596</v>
      </c>
      <c r="D8" s="99" t="s">
        <v>1793</v>
      </c>
      <c r="E8" s="100" t="s">
        <v>597</v>
      </c>
      <c r="F8" s="100" t="s">
        <v>599</v>
      </c>
      <c r="G8" s="98" t="s">
        <v>2129</v>
      </c>
      <c r="H8" s="98" t="s">
        <v>1799</v>
      </c>
      <c r="I8" s="98" t="s">
        <v>2130</v>
      </c>
      <c r="J8" s="98" t="s">
        <v>1800</v>
      </c>
      <c r="K8" s="98" t="s">
        <v>2084</v>
      </c>
      <c r="L8" s="100" t="s">
        <v>2131</v>
      </c>
      <c r="M8" s="100" t="s">
        <v>2133</v>
      </c>
      <c r="N8" s="101"/>
    </row>
    <row r="9">
      <c r="A9" s="98" t="s">
        <v>684</v>
      </c>
      <c r="B9" s="98" t="s">
        <v>2136</v>
      </c>
      <c r="C9" s="98" t="s">
        <v>2137</v>
      </c>
      <c r="D9" s="99" t="s">
        <v>1793</v>
      </c>
      <c r="E9" s="100" t="s">
        <v>657</v>
      </c>
      <c r="F9" s="100" t="s">
        <v>659</v>
      </c>
      <c r="G9" s="98" t="s">
        <v>2138</v>
      </c>
      <c r="H9" s="98" t="s">
        <v>1799</v>
      </c>
      <c r="I9" s="98" t="s">
        <v>2139</v>
      </c>
      <c r="J9" s="98" t="s">
        <v>1800</v>
      </c>
      <c r="K9" s="98" t="s">
        <v>2140</v>
      </c>
      <c r="L9" s="100" t="s">
        <v>2141</v>
      </c>
      <c r="M9" s="100" t="s">
        <v>2142</v>
      </c>
      <c r="N9" s="101"/>
    </row>
    <row r="10">
      <c r="A10" s="98" t="s">
        <v>758</v>
      </c>
      <c r="B10" s="98" t="s">
        <v>2143</v>
      </c>
      <c r="C10" s="98" t="s">
        <v>721</v>
      </c>
      <c r="D10" s="99" t="s">
        <v>1793</v>
      </c>
      <c r="E10" s="100" t="s">
        <v>724</v>
      </c>
      <c r="F10" s="100" t="s">
        <v>728</v>
      </c>
      <c r="G10" s="98" t="s">
        <v>2115</v>
      </c>
      <c r="H10" s="98" t="s">
        <v>1799</v>
      </c>
      <c r="I10" s="98" t="s">
        <v>2147</v>
      </c>
      <c r="J10" s="98" t="s">
        <v>1800</v>
      </c>
      <c r="K10" s="98" t="s">
        <v>2140</v>
      </c>
      <c r="L10" s="100" t="s">
        <v>2148</v>
      </c>
      <c r="M10" s="100" t="s">
        <v>2150</v>
      </c>
      <c r="N10" s="101"/>
    </row>
    <row r="11">
      <c r="A11" s="98" t="s">
        <v>968</v>
      </c>
      <c r="B11" s="98" t="s">
        <v>2151</v>
      </c>
      <c r="C11" s="98" t="s">
        <v>2152</v>
      </c>
      <c r="D11" s="99" t="s">
        <v>1819</v>
      </c>
      <c r="E11" s="100" t="s">
        <v>778</v>
      </c>
      <c r="F11" s="100" t="s">
        <v>935</v>
      </c>
      <c r="G11" s="98" t="s">
        <v>2154</v>
      </c>
      <c r="H11" s="98" t="s">
        <v>1799</v>
      </c>
      <c r="I11" s="98" t="s">
        <v>2156</v>
      </c>
      <c r="J11" s="98" t="s">
        <v>1799</v>
      </c>
      <c r="K11" s="98" t="s">
        <v>2140</v>
      </c>
      <c r="L11" s="100" t="s">
        <v>2157</v>
      </c>
      <c r="M11" s="100" t="s">
        <v>2159</v>
      </c>
      <c r="N11" s="101"/>
    </row>
    <row r="12">
      <c r="A12" s="98" t="s">
        <v>1017</v>
      </c>
      <c r="B12" s="98" t="s">
        <v>2161</v>
      </c>
      <c r="C12" s="98" t="s">
        <v>997</v>
      </c>
      <c r="D12" s="99" t="s">
        <v>1793</v>
      </c>
      <c r="E12" s="100" t="s">
        <v>1004</v>
      </c>
      <c r="F12" s="100" t="s">
        <v>1008</v>
      </c>
      <c r="G12" s="98" t="s">
        <v>2162</v>
      </c>
      <c r="H12" s="98" t="s">
        <v>1799</v>
      </c>
      <c r="I12" s="98" t="s">
        <v>2163</v>
      </c>
      <c r="J12" s="98" t="s">
        <v>1800</v>
      </c>
      <c r="K12" s="98" t="s">
        <v>2140</v>
      </c>
      <c r="L12" s="100" t="s">
        <v>1013</v>
      </c>
      <c r="M12" s="100" t="s">
        <v>2164</v>
      </c>
      <c r="N12" s="101"/>
    </row>
    <row r="13">
      <c r="A13" s="98" t="s">
        <v>835</v>
      </c>
      <c r="B13" s="98" t="s">
        <v>2167</v>
      </c>
      <c r="C13" s="98" t="s">
        <v>814</v>
      </c>
      <c r="D13" s="99" t="s">
        <v>1819</v>
      </c>
      <c r="E13" s="100" t="s">
        <v>778</v>
      </c>
      <c r="F13" s="100" t="s">
        <v>818</v>
      </c>
      <c r="G13" s="98" t="s">
        <v>2170</v>
      </c>
      <c r="H13" s="98" t="s">
        <v>1799</v>
      </c>
      <c r="I13" s="98" t="s">
        <v>2156</v>
      </c>
      <c r="J13" s="98" t="s">
        <v>1799</v>
      </c>
      <c r="K13" s="98" t="s">
        <v>2140</v>
      </c>
      <c r="L13" s="100" t="s">
        <v>2171</v>
      </c>
      <c r="M13" s="100" t="s">
        <v>2172</v>
      </c>
      <c r="N13" s="101"/>
    </row>
    <row r="14">
      <c r="A14" s="98" t="s">
        <v>883</v>
      </c>
      <c r="B14" s="98" t="s">
        <v>2175</v>
      </c>
      <c r="C14" s="98" t="s">
        <v>850</v>
      </c>
      <c r="D14" s="99" t="s">
        <v>1793</v>
      </c>
      <c r="E14" s="100" t="s">
        <v>856</v>
      </c>
      <c r="F14" s="100" t="s">
        <v>859</v>
      </c>
      <c r="G14" s="98" t="s">
        <v>2178</v>
      </c>
      <c r="H14" s="98" t="s">
        <v>1799</v>
      </c>
      <c r="I14" s="98" t="s">
        <v>2179</v>
      </c>
      <c r="J14" s="98" t="s">
        <v>1800</v>
      </c>
      <c r="K14" s="98" t="s">
        <v>2140</v>
      </c>
      <c r="L14" s="100" t="s">
        <v>2180</v>
      </c>
      <c r="M14" s="100" t="s">
        <v>2181</v>
      </c>
      <c r="N14" s="101"/>
    </row>
    <row r="15">
      <c r="A15" s="98" t="s">
        <v>800</v>
      </c>
      <c r="B15" s="98" t="s">
        <v>2182</v>
      </c>
      <c r="C15" s="98" t="s">
        <v>2183</v>
      </c>
      <c r="D15" s="99" t="s">
        <v>1793</v>
      </c>
      <c r="E15" s="100" t="s">
        <v>778</v>
      </c>
      <c r="F15" s="100" t="s">
        <v>781</v>
      </c>
      <c r="G15" s="98" t="s">
        <v>2170</v>
      </c>
      <c r="H15" s="98" t="s">
        <v>1799</v>
      </c>
      <c r="I15" s="98" t="s">
        <v>2184</v>
      </c>
      <c r="J15" s="98" t="s">
        <v>1800</v>
      </c>
      <c r="K15" s="98" t="s">
        <v>2140</v>
      </c>
      <c r="L15" s="100" t="s">
        <v>2171</v>
      </c>
      <c r="M15" s="100" t="s">
        <v>2186</v>
      </c>
      <c r="N15" s="101"/>
    </row>
    <row r="16">
      <c r="A16" s="98" t="s">
        <v>1162</v>
      </c>
      <c r="B16" s="98" t="s">
        <v>2188</v>
      </c>
      <c r="C16" s="98" t="s">
        <v>2189</v>
      </c>
      <c r="D16" s="99" t="s">
        <v>1793</v>
      </c>
      <c r="E16" s="100" t="s">
        <v>1125</v>
      </c>
      <c r="F16" s="100" t="s">
        <v>1129</v>
      </c>
      <c r="G16" s="98" t="s">
        <v>2192</v>
      </c>
      <c r="H16" s="98" t="s">
        <v>2194</v>
      </c>
      <c r="I16" s="98" t="s">
        <v>2195</v>
      </c>
      <c r="J16" s="98" t="s">
        <v>1800</v>
      </c>
      <c r="K16" s="98" t="s">
        <v>2140</v>
      </c>
      <c r="L16" s="100" t="s">
        <v>2197</v>
      </c>
      <c r="M16" s="100" t="s">
        <v>2198</v>
      </c>
      <c r="N16" s="101"/>
    </row>
    <row r="17">
      <c r="A17" s="98" t="s">
        <v>1100</v>
      </c>
      <c r="B17" s="98" t="s">
        <v>2199</v>
      </c>
      <c r="C17" s="98" t="s">
        <v>2200</v>
      </c>
      <c r="D17" s="99" t="s">
        <v>1819</v>
      </c>
      <c r="E17" s="100" t="s">
        <v>778</v>
      </c>
      <c r="F17" s="100" t="s">
        <v>1058</v>
      </c>
      <c r="G17" s="98" t="s">
        <v>2154</v>
      </c>
      <c r="H17" s="98" t="s">
        <v>1799</v>
      </c>
      <c r="I17" s="98" t="s">
        <v>2156</v>
      </c>
      <c r="J17" s="98" t="s">
        <v>1799</v>
      </c>
      <c r="K17" s="98" t="s">
        <v>2140</v>
      </c>
      <c r="L17" s="100" t="s">
        <v>2157</v>
      </c>
      <c r="M17" s="100" t="s">
        <v>2202</v>
      </c>
      <c r="N17" s="101"/>
    </row>
    <row r="18">
      <c r="A18" s="98" t="s">
        <v>1366</v>
      </c>
      <c r="B18" s="98" t="s">
        <v>2203</v>
      </c>
      <c r="C18" s="98" t="s">
        <v>2204</v>
      </c>
      <c r="D18" s="99" t="s">
        <v>1819</v>
      </c>
      <c r="E18" s="100" t="s">
        <v>1334</v>
      </c>
      <c r="F18" s="100" t="s">
        <v>1339</v>
      </c>
      <c r="G18" s="98" t="s">
        <v>2205</v>
      </c>
      <c r="H18" s="98" t="s">
        <v>1799</v>
      </c>
      <c r="I18" s="98" t="s">
        <v>2156</v>
      </c>
      <c r="J18" s="98" t="s">
        <v>1799</v>
      </c>
      <c r="K18" s="98" t="s">
        <v>2206</v>
      </c>
      <c r="L18" s="100" t="s">
        <v>2207</v>
      </c>
      <c r="M18" s="100" t="s">
        <v>2210</v>
      </c>
      <c r="N18" s="101"/>
    </row>
    <row r="19">
      <c r="A19" s="98" t="s">
        <v>1408</v>
      </c>
      <c r="B19" s="98" t="s">
        <v>2211</v>
      </c>
      <c r="C19" s="98" t="s">
        <v>2212</v>
      </c>
      <c r="D19" s="99" t="s">
        <v>1819</v>
      </c>
      <c r="E19" s="100" t="s">
        <v>1334</v>
      </c>
      <c r="F19" s="100" t="s">
        <v>1058</v>
      </c>
      <c r="G19" s="98" t="s">
        <v>2205</v>
      </c>
      <c r="H19" s="98" t="s">
        <v>1799</v>
      </c>
      <c r="I19" s="98" t="s">
        <v>2156</v>
      </c>
      <c r="J19" s="98" t="s">
        <v>1799</v>
      </c>
      <c r="K19" s="98" t="s">
        <v>2206</v>
      </c>
      <c r="L19" s="100" t="s">
        <v>2215</v>
      </c>
      <c r="M19" s="100" t="s">
        <v>2216</v>
      </c>
      <c r="N19" s="101"/>
    </row>
    <row r="20">
      <c r="A20" s="98" t="s">
        <v>1225</v>
      </c>
      <c r="B20" s="98" t="s">
        <v>2217</v>
      </c>
      <c r="C20" s="98" t="s">
        <v>2218</v>
      </c>
      <c r="D20" s="99" t="s">
        <v>1819</v>
      </c>
      <c r="E20" s="100" t="s">
        <v>778</v>
      </c>
      <c r="F20" s="100" t="s">
        <v>1195</v>
      </c>
      <c r="G20" s="98" t="s">
        <v>2154</v>
      </c>
      <c r="H20" s="98" t="s">
        <v>1799</v>
      </c>
      <c r="I20" s="98" t="s">
        <v>2156</v>
      </c>
      <c r="J20" s="98" t="s">
        <v>1799</v>
      </c>
      <c r="K20" s="98" t="s">
        <v>2140</v>
      </c>
      <c r="L20" s="100" t="s">
        <v>2220</v>
      </c>
      <c r="M20" s="100" t="s">
        <v>2221</v>
      </c>
      <c r="N20" s="101"/>
    </row>
    <row r="21">
      <c r="A21" s="98" t="s">
        <v>1296</v>
      </c>
      <c r="B21" s="98" t="s">
        <v>2222</v>
      </c>
      <c r="C21" s="98" t="s">
        <v>2223</v>
      </c>
      <c r="D21" s="99" t="s">
        <v>1819</v>
      </c>
      <c r="E21" s="100" t="s">
        <v>1248</v>
      </c>
      <c r="F21" s="100" t="s">
        <v>1253</v>
      </c>
      <c r="G21" s="98" t="s">
        <v>2225</v>
      </c>
      <c r="H21" s="98" t="s">
        <v>1799</v>
      </c>
      <c r="I21" s="98" t="s">
        <v>2156</v>
      </c>
      <c r="J21" s="98" t="s">
        <v>1799</v>
      </c>
      <c r="K21" s="98" t="s">
        <v>2140</v>
      </c>
      <c r="L21" s="100" t="s">
        <v>2228</v>
      </c>
      <c r="M21" s="100" t="s">
        <v>2230</v>
      </c>
      <c r="N21" s="101"/>
    </row>
    <row r="22">
      <c r="A22" s="103" t="s">
        <v>2231</v>
      </c>
      <c r="B22" s="103" t="s">
        <v>2232</v>
      </c>
      <c r="C22" s="103" t="s">
        <v>2233</v>
      </c>
      <c r="D22" s="104" t="s">
        <v>1793</v>
      </c>
      <c r="E22" s="105" t="s">
        <v>2238</v>
      </c>
      <c r="F22" s="105" t="s">
        <v>2239</v>
      </c>
      <c r="G22" s="103" t="s">
        <v>2241</v>
      </c>
      <c r="H22" s="103" t="s">
        <v>2243</v>
      </c>
      <c r="I22" s="103" t="s">
        <v>2244</v>
      </c>
      <c r="J22" s="103" t="s">
        <v>1800</v>
      </c>
      <c r="K22" s="103" t="s">
        <v>2140</v>
      </c>
      <c r="L22" s="105" t="s">
        <v>2246</v>
      </c>
      <c r="M22" s="105" t="s">
        <v>2247</v>
      </c>
      <c r="N22" s="101"/>
    </row>
    <row r="23">
      <c r="A23" s="103" t="s">
        <v>2248</v>
      </c>
      <c r="B23" s="103" t="s">
        <v>2249</v>
      </c>
      <c r="C23" s="103" t="s">
        <v>2250</v>
      </c>
      <c r="D23" s="104" t="s">
        <v>1793</v>
      </c>
      <c r="E23" s="105" t="s">
        <v>2251</v>
      </c>
      <c r="F23" s="105" t="s">
        <v>2252</v>
      </c>
      <c r="G23" s="103" t="s">
        <v>2253</v>
      </c>
      <c r="H23" s="103" t="s">
        <v>2255</v>
      </c>
      <c r="I23" s="103" t="s">
        <v>2256</v>
      </c>
      <c r="J23" s="103" t="s">
        <v>1800</v>
      </c>
      <c r="K23" s="103" t="s">
        <v>2140</v>
      </c>
      <c r="L23" s="105" t="s">
        <v>2257</v>
      </c>
      <c r="M23" s="105" t="s">
        <v>2258</v>
      </c>
      <c r="N23" s="101"/>
    </row>
    <row r="24">
      <c r="A24" s="98" t="s">
        <v>1776</v>
      </c>
      <c r="B24" s="98" t="s">
        <v>2259</v>
      </c>
      <c r="C24" s="98" t="s">
        <v>2260</v>
      </c>
      <c r="D24" s="99" t="s">
        <v>1793</v>
      </c>
      <c r="E24" s="100" t="s">
        <v>1774</v>
      </c>
      <c r="F24" s="100" t="s">
        <v>1775</v>
      </c>
      <c r="G24" s="98" t="s">
        <v>2264</v>
      </c>
      <c r="H24" s="98" t="s">
        <v>2265</v>
      </c>
      <c r="I24" s="98" t="s">
        <v>2266</v>
      </c>
      <c r="J24" s="98" t="s">
        <v>1800</v>
      </c>
      <c r="K24" s="98" t="s">
        <v>2267</v>
      </c>
      <c r="L24" s="100" t="s">
        <v>2268</v>
      </c>
      <c r="M24" s="100" t="s">
        <v>2269</v>
      </c>
      <c r="N24" s="101"/>
    </row>
    <row r="25">
      <c r="A25" s="98" t="s">
        <v>1785</v>
      </c>
      <c r="B25" s="98" t="s">
        <v>2270</v>
      </c>
      <c r="C25" s="98" t="s">
        <v>2271</v>
      </c>
      <c r="D25" s="99" t="s">
        <v>1793</v>
      </c>
      <c r="E25" s="100" t="s">
        <v>1782</v>
      </c>
      <c r="F25" s="100" t="s">
        <v>1784</v>
      </c>
      <c r="G25" s="98" t="s">
        <v>2272</v>
      </c>
      <c r="H25" s="98" t="s">
        <v>2274</v>
      </c>
      <c r="I25" s="98" t="s">
        <v>2275</v>
      </c>
      <c r="J25" s="98" t="s">
        <v>1799</v>
      </c>
      <c r="K25" s="98" t="s">
        <v>2007</v>
      </c>
      <c r="L25" s="100" t="s">
        <v>2276</v>
      </c>
      <c r="M25" s="100" t="s">
        <v>2277</v>
      </c>
      <c r="N25" s="101"/>
    </row>
    <row r="26">
      <c r="A26" s="98" t="s">
        <v>1807</v>
      </c>
      <c r="B26" s="98" t="s">
        <v>2278</v>
      </c>
      <c r="C26" s="98" t="s">
        <v>2279</v>
      </c>
      <c r="D26" s="99" t="s">
        <v>1793</v>
      </c>
      <c r="E26" s="100" t="s">
        <v>1792</v>
      </c>
      <c r="F26" s="100" t="s">
        <v>1794</v>
      </c>
      <c r="G26" s="98" t="s">
        <v>2282</v>
      </c>
      <c r="H26" s="98" t="s">
        <v>2284</v>
      </c>
      <c r="I26" s="98" t="s">
        <v>2285</v>
      </c>
      <c r="J26" s="98" t="s">
        <v>1800</v>
      </c>
      <c r="K26" s="98" t="s">
        <v>2007</v>
      </c>
      <c r="L26" s="100" t="s">
        <v>2287</v>
      </c>
      <c r="M26" s="100" t="s">
        <v>2288</v>
      </c>
      <c r="N26" s="101"/>
    </row>
    <row r="27">
      <c r="A27" s="98" t="s">
        <v>1833</v>
      </c>
      <c r="B27" s="98" t="s">
        <v>2289</v>
      </c>
      <c r="C27" s="98" t="s">
        <v>2290</v>
      </c>
      <c r="D27" s="99" t="s">
        <v>1793</v>
      </c>
      <c r="E27" s="100" t="s">
        <v>1821</v>
      </c>
      <c r="F27" s="100" t="s">
        <v>1824</v>
      </c>
      <c r="G27" s="98" t="s">
        <v>2291</v>
      </c>
      <c r="H27" s="98" t="s">
        <v>1799</v>
      </c>
      <c r="I27" s="98" t="s">
        <v>2292</v>
      </c>
      <c r="J27" s="98" t="s">
        <v>1800</v>
      </c>
      <c r="K27" s="98" t="s">
        <v>2007</v>
      </c>
      <c r="L27" s="100" t="s">
        <v>2293</v>
      </c>
      <c r="M27" s="100" t="s">
        <v>2295</v>
      </c>
      <c r="N27" s="101"/>
    </row>
    <row r="28">
      <c r="A28" s="98" t="s">
        <v>1860</v>
      </c>
      <c r="B28" s="98" t="s">
        <v>2296</v>
      </c>
      <c r="C28" s="98" t="s">
        <v>2297</v>
      </c>
      <c r="D28" s="99" t="s">
        <v>1819</v>
      </c>
      <c r="E28" s="100" t="s">
        <v>778</v>
      </c>
      <c r="F28" s="100" t="s">
        <v>1848</v>
      </c>
      <c r="G28" s="98" t="s">
        <v>2170</v>
      </c>
      <c r="H28" s="98" t="s">
        <v>1799</v>
      </c>
      <c r="I28" s="98" t="s">
        <v>2156</v>
      </c>
      <c r="J28" s="98" t="s">
        <v>1799</v>
      </c>
      <c r="K28" s="98" t="s">
        <v>2007</v>
      </c>
      <c r="L28" s="100" t="s">
        <v>2298</v>
      </c>
      <c r="M28" s="100" t="s">
        <v>2300</v>
      </c>
      <c r="N28" s="101"/>
    </row>
    <row r="29">
      <c r="A29" s="98" t="s">
        <v>1890</v>
      </c>
      <c r="B29" s="98" t="s">
        <v>2302</v>
      </c>
      <c r="C29" s="98" t="s">
        <v>2304</v>
      </c>
      <c r="D29" s="99" t="s">
        <v>1819</v>
      </c>
      <c r="E29" s="100" t="s">
        <v>778</v>
      </c>
      <c r="F29" s="100" t="s">
        <v>1876</v>
      </c>
      <c r="G29" s="98" t="s">
        <v>2306</v>
      </c>
      <c r="H29" s="98" t="s">
        <v>1799</v>
      </c>
      <c r="I29" s="98" t="s">
        <v>2156</v>
      </c>
      <c r="J29" s="98" t="s">
        <v>1799</v>
      </c>
      <c r="K29" s="98" t="s">
        <v>1801</v>
      </c>
      <c r="L29" s="100" t="s">
        <v>2307</v>
      </c>
      <c r="M29" s="100" t="s">
        <v>2308</v>
      </c>
      <c r="N29" s="101"/>
    </row>
    <row r="30">
      <c r="A30" s="98" t="s">
        <v>1920</v>
      </c>
      <c r="B30" s="98" t="s">
        <v>2309</v>
      </c>
      <c r="C30" s="98" t="s">
        <v>2310</v>
      </c>
      <c r="D30" s="99" t="s">
        <v>1793</v>
      </c>
      <c r="E30" s="100" t="s">
        <v>1901</v>
      </c>
      <c r="F30" s="100" t="s">
        <v>1904</v>
      </c>
      <c r="G30" s="98" t="s">
        <v>2311</v>
      </c>
      <c r="H30" s="98" t="s">
        <v>2312</v>
      </c>
      <c r="I30" s="98" t="s">
        <v>2313</v>
      </c>
      <c r="J30" s="98" t="s">
        <v>1800</v>
      </c>
      <c r="K30" s="98" t="s">
        <v>1801</v>
      </c>
      <c r="L30" s="100" t="s">
        <v>2314</v>
      </c>
      <c r="M30" s="100" t="s">
        <v>2315</v>
      </c>
      <c r="N30" s="101"/>
    </row>
    <row r="31">
      <c r="A31" s="98" t="s">
        <v>1450</v>
      </c>
      <c r="B31" s="98" t="s">
        <v>2316</v>
      </c>
      <c r="C31" s="98" t="s">
        <v>1429</v>
      </c>
      <c r="D31" s="99" t="s">
        <v>1819</v>
      </c>
      <c r="E31" s="100" t="s">
        <v>1433</v>
      </c>
      <c r="F31" s="100" t="s">
        <v>1435</v>
      </c>
      <c r="G31" s="98" t="s">
        <v>2317</v>
      </c>
      <c r="H31" s="98" t="s">
        <v>1799</v>
      </c>
      <c r="I31" s="98" t="s">
        <v>2156</v>
      </c>
      <c r="J31" s="98" t="s">
        <v>1799</v>
      </c>
      <c r="K31" s="98" t="s">
        <v>2084</v>
      </c>
      <c r="L31" s="100" t="s">
        <v>2318</v>
      </c>
      <c r="M31" s="100" t="s">
        <v>2319</v>
      </c>
      <c r="N31" s="101"/>
    </row>
    <row r="32">
      <c r="A32" s="98" t="s">
        <v>2201</v>
      </c>
      <c r="B32" s="98" t="s">
        <v>2320</v>
      </c>
      <c r="C32" s="98" t="s">
        <v>2191</v>
      </c>
      <c r="D32" s="99" t="s">
        <v>1819</v>
      </c>
      <c r="E32" s="100" t="s">
        <v>2193</v>
      </c>
      <c r="F32" s="100" t="s">
        <v>2196</v>
      </c>
      <c r="G32" s="98" t="s">
        <v>2317</v>
      </c>
      <c r="H32" s="98" t="s">
        <v>1799</v>
      </c>
      <c r="I32" s="98" t="s">
        <v>2156</v>
      </c>
      <c r="J32" s="98" t="s">
        <v>1799</v>
      </c>
      <c r="K32" s="98" t="s">
        <v>1988</v>
      </c>
      <c r="L32" s="100" t="s">
        <v>2321</v>
      </c>
      <c r="M32" s="100" t="s">
        <v>2322</v>
      </c>
      <c r="N32" s="101"/>
    </row>
    <row r="33">
      <c r="A33" s="98" t="s">
        <v>2077</v>
      </c>
      <c r="B33" s="98" t="s">
        <v>2324</v>
      </c>
      <c r="C33" s="98" t="s">
        <v>2325</v>
      </c>
      <c r="D33" s="99" t="s">
        <v>1819</v>
      </c>
      <c r="E33" s="100" t="s">
        <v>2326</v>
      </c>
      <c r="F33" s="100" t="s">
        <v>2327</v>
      </c>
      <c r="G33" s="98" t="s">
        <v>2225</v>
      </c>
      <c r="H33" s="98" t="s">
        <v>1799</v>
      </c>
      <c r="I33" s="98" t="s">
        <v>2156</v>
      </c>
      <c r="J33" s="98" t="s">
        <v>1799</v>
      </c>
      <c r="K33" s="98" t="s">
        <v>2328</v>
      </c>
      <c r="L33" s="100" t="s">
        <v>2330</v>
      </c>
      <c r="M33" s="100" t="s">
        <v>2332</v>
      </c>
      <c r="N33" s="101"/>
    </row>
    <row r="34">
      <c r="A34" s="98" t="s">
        <v>2086</v>
      </c>
      <c r="B34" s="98" t="s">
        <v>2334</v>
      </c>
      <c r="C34" s="98" t="s">
        <v>2335</v>
      </c>
      <c r="D34" s="99" t="s">
        <v>1793</v>
      </c>
      <c r="E34" s="100" t="s">
        <v>2079</v>
      </c>
      <c r="F34" s="100" t="s">
        <v>2080</v>
      </c>
      <c r="G34" s="98" t="s">
        <v>2336</v>
      </c>
      <c r="H34" s="98" t="s">
        <v>2337</v>
      </c>
      <c r="I34" s="98" t="s">
        <v>2338</v>
      </c>
      <c r="J34" s="98" t="s">
        <v>1800</v>
      </c>
      <c r="K34" s="98" t="s">
        <v>2339</v>
      </c>
      <c r="L34" s="100" t="s">
        <v>2340</v>
      </c>
      <c r="M34" s="100" t="s">
        <v>2341</v>
      </c>
      <c r="N34" s="101"/>
    </row>
    <row r="35">
      <c r="A35" s="98" t="s">
        <v>2107</v>
      </c>
      <c r="B35" s="98" t="s">
        <v>2342</v>
      </c>
      <c r="C35" s="98" t="s">
        <v>2096</v>
      </c>
      <c r="D35" s="99" t="s">
        <v>1819</v>
      </c>
      <c r="E35" s="100" t="s">
        <v>2097</v>
      </c>
      <c r="F35" s="100" t="s">
        <v>2343</v>
      </c>
      <c r="G35" s="98" t="s">
        <v>2344</v>
      </c>
      <c r="H35" s="98" t="s">
        <v>1799</v>
      </c>
      <c r="I35" s="98" t="s">
        <v>2156</v>
      </c>
      <c r="J35" s="98" t="s">
        <v>1799</v>
      </c>
      <c r="K35" s="98" t="s">
        <v>2345</v>
      </c>
      <c r="L35" s="100" t="s">
        <v>2346</v>
      </c>
      <c r="M35" s="100" t="s">
        <v>2347</v>
      </c>
      <c r="N35" s="101"/>
    </row>
    <row r="36">
      <c r="A36" s="98" t="s">
        <v>2126</v>
      </c>
      <c r="B36" s="98" t="s">
        <v>2349</v>
      </c>
      <c r="C36" s="98" t="s">
        <v>2350</v>
      </c>
      <c r="D36" s="99" t="s">
        <v>1793</v>
      </c>
      <c r="E36" s="100" t="s">
        <v>2114</v>
      </c>
      <c r="F36" s="100" t="s">
        <v>2117</v>
      </c>
      <c r="G36" s="98" t="s">
        <v>2352</v>
      </c>
      <c r="H36" s="98" t="s">
        <v>1799</v>
      </c>
      <c r="I36" s="98" t="s">
        <v>2353</v>
      </c>
      <c r="J36" s="98" t="s">
        <v>1800</v>
      </c>
      <c r="K36" s="98" t="s">
        <v>2354</v>
      </c>
      <c r="L36" s="100" t="s">
        <v>2355</v>
      </c>
      <c r="M36" s="100" t="s">
        <v>2356</v>
      </c>
      <c r="N36" s="101"/>
    </row>
    <row r="37">
      <c r="A37" s="98" t="s">
        <v>2144</v>
      </c>
      <c r="B37" s="98" t="s">
        <v>2358</v>
      </c>
      <c r="C37" s="98" t="s">
        <v>2359</v>
      </c>
      <c r="D37" s="99" t="s">
        <v>1793</v>
      </c>
      <c r="E37" s="100" t="s">
        <v>2134</v>
      </c>
      <c r="F37" s="100" t="s">
        <v>2135</v>
      </c>
      <c r="G37" s="98" t="s">
        <v>2361</v>
      </c>
      <c r="H37" s="98" t="s">
        <v>2363</v>
      </c>
      <c r="I37" s="98" t="s">
        <v>2364</v>
      </c>
      <c r="J37" s="98" t="s">
        <v>1800</v>
      </c>
      <c r="K37" s="98" t="s">
        <v>2365</v>
      </c>
      <c r="L37" s="100" t="s">
        <v>2366</v>
      </c>
      <c r="M37" s="100" t="s">
        <v>2367</v>
      </c>
      <c r="N37" s="101"/>
    </row>
    <row r="38">
      <c r="A38" s="98" t="s">
        <v>2165</v>
      </c>
      <c r="B38" s="98" t="s">
        <v>2368</v>
      </c>
      <c r="C38" s="98" t="s">
        <v>2369</v>
      </c>
      <c r="D38" s="99" t="s">
        <v>1793</v>
      </c>
      <c r="E38" s="100" t="s">
        <v>2158</v>
      </c>
      <c r="F38" s="100" t="s">
        <v>2160</v>
      </c>
      <c r="G38" s="98" t="s">
        <v>2370</v>
      </c>
      <c r="H38" s="98" t="s">
        <v>2372</v>
      </c>
      <c r="I38" s="98" t="s">
        <v>2373</v>
      </c>
      <c r="J38" s="98" t="s">
        <v>1800</v>
      </c>
      <c r="K38" s="98" t="s">
        <v>2374</v>
      </c>
      <c r="L38" s="100" t="s">
        <v>2376</v>
      </c>
      <c r="M38" s="100" t="s">
        <v>2378</v>
      </c>
      <c r="N38" s="101"/>
    </row>
    <row r="39">
      <c r="A39" s="98" t="s">
        <v>2185</v>
      </c>
      <c r="B39" s="98" t="s">
        <v>2379</v>
      </c>
      <c r="C39" s="98" t="s">
        <v>2380</v>
      </c>
      <c r="D39" s="99" t="s">
        <v>1793</v>
      </c>
      <c r="E39" s="100" t="s">
        <v>2176</v>
      </c>
      <c r="F39" s="100" t="s">
        <v>2177</v>
      </c>
      <c r="G39" s="98" t="s">
        <v>2361</v>
      </c>
      <c r="H39" s="98" t="s">
        <v>1799</v>
      </c>
      <c r="I39" s="98" t="s">
        <v>2381</v>
      </c>
      <c r="J39" s="98" t="s">
        <v>1800</v>
      </c>
      <c r="K39" s="98" t="s">
        <v>2382</v>
      </c>
      <c r="L39" s="100" t="s">
        <v>2383</v>
      </c>
      <c r="M39" s="100" t="s">
        <v>2384</v>
      </c>
      <c r="N39" s="101"/>
    </row>
    <row r="40">
      <c r="A40" s="98" t="s">
        <v>1968</v>
      </c>
      <c r="B40" s="98" t="s">
        <v>2385</v>
      </c>
      <c r="C40" s="98" t="s">
        <v>2386</v>
      </c>
      <c r="D40" s="99" t="s">
        <v>1819</v>
      </c>
      <c r="E40" s="100" t="s">
        <v>1950</v>
      </c>
      <c r="F40" s="100" t="s">
        <v>1953</v>
      </c>
      <c r="G40" s="98" t="s">
        <v>2387</v>
      </c>
      <c r="H40" s="98" t="s">
        <v>1799</v>
      </c>
      <c r="I40" s="98" t="s">
        <v>2156</v>
      </c>
      <c r="J40" s="98" t="s">
        <v>1799</v>
      </c>
      <c r="K40" s="98" t="s">
        <v>2388</v>
      </c>
      <c r="L40" s="100" t="s">
        <v>2389</v>
      </c>
      <c r="M40" s="100" t="s">
        <v>2390</v>
      </c>
      <c r="N40" s="101"/>
    </row>
    <row r="41">
      <c r="A41" s="98" t="s">
        <v>2001</v>
      </c>
      <c r="B41" s="98" t="s">
        <v>2391</v>
      </c>
      <c r="C41" s="98" t="s">
        <v>1992</v>
      </c>
      <c r="D41" s="99" t="s">
        <v>1819</v>
      </c>
      <c r="E41" s="100" t="s">
        <v>1996</v>
      </c>
      <c r="F41" s="100" t="s">
        <v>1998</v>
      </c>
      <c r="G41" s="98" t="s">
        <v>2392</v>
      </c>
      <c r="H41" s="98" t="s">
        <v>1799</v>
      </c>
      <c r="I41" s="98" t="s">
        <v>2156</v>
      </c>
      <c r="J41" s="98" t="s">
        <v>1799</v>
      </c>
      <c r="K41" s="98" t="s">
        <v>2388</v>
      </c>
      <c r="L41" s="100" t="s">
        <v>2393</v>
      </c>
      <c r="M41" s="100" t="s">
        <v>2394</v>
      </c>
      <c r="N41" s="101"/>
    </row>
    <row r="42">
      <c r="A42" s="98" t="s">
        <v>2031</v>
      </c>
      <c r="B42" s="98" t="s">
        <v>2395</v>
      </c>
      <c r="C42" s="98" t="s">
        <v>2396</v>
      </c>
      <c r="D42" s="99" t="s">
        <v>1793</v>
      </c>
      <c r="E42" s="100" t="s">
        <v>2013</v>
      </c>
      <c r="F42" s="100" t="s">
        <v>2017</v>
      </c>
      <c r="G42" s="98" t="s">
        <v>2392</v>
      </c>
      <c r="H42" s="98" t="s">
        <v>2397</v>
      </c>
      <c r="I42" s="98" t="s">
        <v>2398</v>
      </c>
      <c r="J42" s="98" t="s">
        <v>1800</v>
      </c>
      <c r="K42" s="98" t="s">
        <v>2388</v>
      </c>
      <c r="L42" s="100" t="s">
        <v>2399</v>
      </c>
      <c r="M42" s="100" t="s">
        <v>2400</v>
      </c>
      <c r="N42" s="101"/>
    </row>
    <row r="43">
      <c r="A43" s="98" t="s">
        <v>2041</v>
      </c>
      <c r="B43" s="98" t="s">
        <v>2401</v>
      </c>
      <c r="C43" s="98" t="s">
        <v>2402</v>
      </c>
      <c r="D43" s="99" t="s">
        <v>1793</v>
      </c>
      <c r="E43" s="100" t="s">
        <v>2038</v>
      </c>
      <c r="F43" s="100" t="s">
        <v>2039</v>
      </c>
      <c r="G43" s="98" t="s">
        <v>2403</v>
      </c>
      <c r="H43" s="98" t="s">
        <v>2404</v>
      </c>
      <c r="I43" s="98" t="s">
        <v>2405</v>
      </c>
      <c r="J43" s="98" t="s">
        <v>1800</v>
      </c>
      <c r="K43" s="98" t="s">
        <v>2388</v>
      </c>
      <c r="L43" s="100" t="s">
        <v>2406</v>
      </c>
      <c r="M43" s="100" t="s">
        <v>2407</v>
      </c>
      <c r="N43" s="101"/>
    </row>
    <row r="44">
      <c r="A44" s="98" t="s">
        <v>2219</v>
      </c>
      <c r="B44" s="98" t="s">
        <v>2408</v>
      </c>
      <c r="C44" s="98" t="s">
        <v>2209</v>
      </c>
      <c r="D44" s="99" t="s">
        <v>1793</v>
      </c>
      <c r="E44" s="100" t="s">
        <v>2213</v>
      </c>
      <c r="F44" s="100" t="s">
        <v>2214</v>
      </c>
      <c r="G44" s="98" t="s">
        <v>2409</v>
      </c>
      <c r="H44" s="98" t="s">
        <v>1799</v>
      </c>
      <c r="I44" s="98" t="s">
        <v>2410</v>
      </c>
      <c r="J44" s="98" t="s">
        <v>1800</v>
      </c>
      <c r="K44" s="98" t="s">
        <v>2412</v>
      </c>
      <c r="L44" s="100" t="s">
        <v>2413</v>
      </c>
      <c r="M44" s="100" t="s">
        <v>2414</v>
      </c>
      <c r="N44" s="101"/>
    </row>
    <row r="45">
      <c r="A45" s="98" t="s">
        <v>2323</v>
      </c>
      <c r="B45" s="98" t="s">
        <v>2415</v>
      </c>
      <c r="C45" s="98" t="s">
        <v>2301</v>
      </c>
      <c r="D45" s="99" t="s">
        <v>1819</v>
      </c>
      <c r="E45" s="100" t="s">
        <v>2303</v>
      </c>
      <c r="F45" s="100" t="s">
        <v>2305</v>
      </c>
      <c r="G45" s="98" t="s">
        <v>2416</v>
      </c>
      <c r="H45" s="98" t="s">
        <v>1799</v>
      </c>
      <c r="I45" s="98" t="s">
        <v>2156</v>
      </c>
      <c r="J45" s="98" t="s">
        <v>1799</v>
      </c>
      <c r="K45" s="98" t="s">
        <v>2417</v>
      </c>
      <c r="L45" s="100" t="s">
        <v>2418</v>
      </c>
      <c r="M45" s="100" t="s">
        <v>2419</v>
      </c>
      <c r="N45" s="101"/>
    </row>
    <row r="46">
      <c r="A46" s="100" t="s">
        <v>2348</v>
      </c>
      <c r="B46" s="100" t="s">
        <v>2420</v>
      </c>
      <c r="C46" s="100" t="s">
        <v>2421</v>
      </c>
      <c r="D46" s="120" t="s">
        <v>1819</v>
      </c>
      <c r="E46" s="100" t="s">
        <v>778</v>
      </c>
      <c r="F46" s="100" t="s">
        <v>2333</v>
      </c>
      <c r="G46" s="100" t="s">
        <v>2422</v>
      </c>
      <c r="H46" s="100" t="s">
        <v>1799</v>
      </c>
      <c r="I46" s="100" t="s">
        <v>2156</v>
      </c>
      <c r="J46" s="100" t="s">
        <v>1799</v>
      </c>
      <c r="K46" s="100" t="s">
        <v>2423</v>
      </c>
      <c r="L46" s="100" t="s">
        <v>2424</v>
      </c>
      <c r="M46" s="100" t="s">
        <v>2425</v>
      </c>
      <c r="N46" s="101"/>
    </row>
    <row r="47">
      <c r="A47" s="100" t="s">
        <v>2371</v>
      </c>
      <c r="B47" s="100" t="s">
        <v>2426</v>
      </c>
      <c r="C47" s="100" t="s">
        <v>2427</v>
      </c>
      <c r="D47" s="120" t="s">
        <v>1793</v>
      </c>
      <c r="E47" s="100" t="s">
        <v>2428</v>
      </c>
      <c r="F47" s="100" t="s">
        <v>2362</v>
      </c>
      <c r="G47" s="100" t="s">
        <v>2429</v>
      </c>
      <c r="H47" s="100" t="s">
        <v>2430</v>
      </c>
      <c r="I47" s="100" t="s">
        <v>2431</v>
      </c>
      <c r="J47" s="100" t="s">
        <v>1800</v>
      </c>
      <c r="K47" s="100" t="s">
        <v>2432</v>
      </c>
      <c r="L47" s="100" t="s">
        <v>2433</v>
      </c>
      <c r="M47" s="100" t="s">
        <v>2434</v>
      </c>
      <c r="N47" s="101"/>
    </row>
    <row r="48">
      <c r="A48" s="100" t="s">
        <v>2234</v>
      </c>
      <c r="B48" s="100" t="s">
        <v>2435</v>
      </c>
      <c r="C48" s="100" t="s">
        <v>2436</v>
      </c>
      <c r="D48" s="120" t="s">
        <v>1793</v>
      </c>
      <c r="E48" s="100" t="s">
        <v>2227</v>
      </c>
      <c r="F48" s="100" t="s">
        <v>2229</v>
      </c>
      <c r="G48" s="100" t="s">
        <v>2437</v>
      </c>
      <c r="H48" s="100" t="s">
        <v>1799</v>
      </c>
      <c r="I48" s="100" t="s">
        <v>2438</v>
      </c>
      <c r="J48" s="100" t="s">
        <v>1800</v>
      </c>
      <c r="K48" s="100" t="s">
        <v>2439</v>
      </c>
      <c r="L48" s="100" t="s">
        <v>2440</v>
      </c>
      <c r="M48" s="100" t="s">
        <v>2441</v>
      </c>
      <c r="N48" s="101"/>
    </row>
    <row r="49">
      <c r="A49" s="105" t="s">
        <v>2442</v>
      </c>
      <c r="B49" s="105" t="s">
        <v>345</v>
      </c>
      <c r="C49" s="105" t="s">
        <v>2443</v>
      </c>
      <c r="D49" s="135" t="s">
        <v>1819</v>
      </c>
      <c r="E49" s="105" t="s">
        <v>2444</v>
      </c>
      <c r="F49" s="105" t="s">
        <v>2445</v>
      </c>
      <c r="G49" s="105" t="s">
        <v>2446</v>
      </c>
      <c r="H49" s="105" t="s">
        <v>1799</v>
      </c>
      <c r="I49" s="105" t="s">
        <v>2156</v>
      </c>
      <c r="J49" s="105" t="s">
        <v>1799</v>
      </c>
      <c r="K49" s="105" t="s">
        <v>2447</v>
      </c>
      <c r="L49" s="105" t="s">
        <v>2448</v>
      </c>
      <c r="M49" s="105" t="s">
        <v>2449</v>
      </c>
      <c r="N49" s="101"/>
    </row>
    <row r="50">
      <c r="A50" s="100" t="s">
        <v>2254</v>
      </c>
      <c r="B50" s="100" t="s">
        <v>2450</v>
      </c>
      <c r="C50" s="100" t="s">
        <v>2451</v>
      </c>
      <c r="D50" s="120" t="s">
        <v>1819</v>
      </c>
      <c r="E50" s="100" t="s">
        <v>778</v>
      </c>
      <c r="F50" s="100" t="s">
        <v>2245</v>
      </c>
      <c r="G50" s="100" t="s">
        <v>2452</v>
      </c>
      <c r="H50" s="100" t="s">
        <v>1799</v>
      </c>
      <c r="I50" s="100" t="s">
        <v>2156</v>
      </c>
      <c r="J50" s="100" t="s">
        <v>1799</v>
      </c>
      <c r="K50" s="100" t="s">
        <v>2453</v>
      </c>
      <c r="L50" s="100" t="s">
        <v>2454</v>
      </c>
      <c r="M50" s="100" t="s">
        <v>2455</v>
      </c>
      <c r="N50" s="101"/>
    </row>
    <row r="51">
      <c r="A51" s="100" t="s">
        <v>2273</v>
      </c>
      <c r="B51" s="100" t="s">
        <v>2456</v>
      </c>
      <c r="C51" s="100" t="s">
        <v>2262</v>
      </c>
      <c r="D51" s="120" t="s">
        <v>1819</v>
      </c>
      <c r="E51" s="100" t="s">
        <v>778</v>
      </c>
      <c r="F51" s="100" t="s">
        <v>2263</v>
      </c>
      <c r="G51" s="100" t="s">
        <v>2452</v>
      </c>
      <c r="H51" s="100" t="s">
        <v>1799</v>
      </c>
      <c r="I51" s="100" t="s">
        <v>2156</v>
      </c>
      <c r="J51" s="100" t="s">
        <v>1799</v>
      </c>
      <c r="K51" s="100" t="s">
        <v>2453</v>
      </c>
      <c r="L51" s="100" t="s">
        <v>2457</v>
      </c>
      <c r="M51" s="100" t="s">
        <v>2458</v>
      </c>
      <c r="N51" s="101"/>
    </row>
    <row r="52">
      <c r="A52" s="105" t="s">
        <v>2459</v>
      </c>
      <c r="B52" s="105" t="s">
        <v>2460</v>
      </c>
      <c r="C52" s="105" t="s">
        <v>2461</v>
      </c>
      <c r="D52" s="135" t="s">
        <v>1793</v>
      </c>
      <c r="E52" s="105" t="s">
        <v>2462</v>
      </c>
      <c r="F52" s="105" t="s">
        <v>2463</v>
      </c>
      <c r="G52" s="105" t="s">
        <v>2464</v>
      </c>
      <c r="H52" s="105" t="s">
        <v>1799</v>
      </c>
      <c r="I52" s="105" t="s">
        <v>2465</v>
      </c>
      <c r="J52" s="105" t="s">
        <v>1800</v>
      </c>
      <c r="K52" s="105" t="s">
        <v>2466</v>
      </c>
      <c r="L52" s="105" t="s">
        <v>2467</v>
      </c>
      <c r="M52" s="105" t="s">
        <v>2468</v>
      </c>
      <c r="N52" s="101"/>
    </row>
    <row r="53">
      <c r="A53" s="100" t="s">
        <v>2294</v>
      </c>
      <c r="B53" s="100" t="s">
        <v>2469</v>
      </c>
      <c r="C53" s="100" t="s">
        <v>2470</v>
      </c>
      <c r="D53" s="120" t="s">
        <v>1793</v>
      </c>
      <c r="E53" s="100" t="s">
        <v>2283</v>
      </c>
      <c r="F53" s="100" t="s">
        <v>2286</v>
      </c>
      <c r="G53" s="100" t="s">
        <v>2471</v>
      </c>
      <c r="H53" s="100" t="s">
        <v>1799</v>
      </c>
      <c r="I53" s="100" t="s">
        <v>2472</v>
      </c>
      <c r="J53" s="100" t="s">
        <v>1800</v>
      </c>
      <c r="K53" s="100" t="s">
        <v>2473</v>
      </c>
      <c r="L53" s="100" t="s">
        <v>2474</v>
      </c>
      <c r="M53" s="100" t="s">
        <v>2475</v>
      </c>
      <c r="N53" s="101"/>
    </row>
    <row r="54">
      <c r="A54" s="105" t="s">
        <v>2476</v>
      </c>
      <c r="B54" s="105" t="s">
        <v>2477</v>
      </c>
      <c r="C54" s="105" t="s">
        <v>2478</v>
      </c>
      <c r="D54" s="135" t="s">
        <v>1793</v>
      </c>
      <c r="E54" s="105" t="s">
        <v>2479</v>
      </c>
      <c r="F54" s="105" t="s">
        <v>2480</v>
      </c>
      <c r="G54" s="105" t="s">
        <v>2481</v>
      </c>
      <c r="H54" s="105" t="s">
        <v>1799</v>
      </c>
      <c r="I54" s="105" t="s">
        <v>2482</v>
      </c>
      <c r="J54" s="105" t="s">
        <v>1800</v>
      </c>
      <c r="K54" s="105" t="s">
        <v>2483</v>
      </c>
      <c r="L54" s="105" t="s">
        <v>2484</v>
      </c>
      <c r="M54" s="105" t="s">
        <v>2485</v>
      </c>
      <c r="N54" s="101"/>
    </row>
    <row r="55">
      <c r="A55" s="98" t="s">
        <v>1709</v>
      </c>
      <c r="B55" s="98" t="s">
        <v>2486</v>
      </c>
      <c r="C55" s="98" t="s">
        <v>1718</v>
      </c>
      <c r="D55" s="99" t="s">
        <v>1793</v>
      </c>
      <c r="E55" s="100" t="s">
        <v>1719</v>
      </c>
      <c r="F55" s="100" t="s">
        <v>1722</v>
      </c>
      <c r="G55" s="98" t="s">
        <v>2487</v>
      </c>
      <c r="H55" s="98" t="s">
        <v>2488</v>
      </c>
      <c r="I55" s="98" t="s">
        <v>2489</v>
      </c>
      <c r="J55" s="98" t="s">
        <v>1800</v>
      </c>
      <c r="K55" s="98" t="s">
        <v>2490</v>
      </c>
      <c r="L55" s="100" t="s">
        <v>2491</v>
      </c>
      <c r="M55" s="100" t="s">
        <v>2492</v>
      </c>
      <c r="N55" s="101"/>
    </row>
    <row r="56">
      <c r="A56" s="98" t="s">
        <v>1683</v>
      </c>
      <c r="B56" s="98" t="s">
        <v>2493</v>
      </c>
      <c r="C56" s="98" t="s">
        <v>1653</v>
      </c>
      <c r="D56" s="99" t="s">
        <v>1819</v>
      </c>
      <c r="E56" s="100" t="s">
        <v>1654</v>
      </c>
      <c r="F56" s="100" t="s">
        <v>1657</v>
      </c>
      <c r="G56" s="98" t="s">
        <v>2494</v>
      </c>
      <c r="H56" s="98" t="s">
        <v>1799</v>
      </c>
      <c r="I56" s="98" t="s">
        <v>2156</v>
      </c>
      <c r="J56" s="98" t="s">
        <v>1799</v>
      </c>
      <c r="K56" s="98" t="s">
        <v>2084</v>
      </c>
      <c r="L56" s="100" t="s">
        <v>2495</v>
      </c>
      <c r="M56" s="100" t="s">
        <v>2496</v>
      </c>
      <c r="N56" s="101"/>
    </row>
    <row r="57">
      <c r="A57" s="98" t="s">
        <v>1620</v>
      </c>
      <c r="B57" s="98" t="s">
        <v>2497</v>
      </c>
      <c r="C57" s="98" t="s">
        <v>1559</v>
      </c>
      <c r="D57" s="99" t="s">
        <v>1819</v>
      </c>
      <c r="E57" s="100" t="s">
        <v>1565</v>
      </c>
      <c r="F57" s="100" t="s">
        <v>1571</v>
      </c>
      <c r="G57" s="98" t="s">
        <v>2344</v>
      </c>
      <c r="H57" s="98" t="s">
        <v>1799</v>
      </c>
      <c r="I57" s="98" t="s">
        <v>2156</v>
      </c>
      <c r="J57" s="98" t="s">
        <v>1799</v>
      </c>
      <c r="K57" s="98" t="s">
        <v>2498</v>
      </c>
      <c r="L57" s="100" t="s">
        <v>2499</v>
      </c>
      <c r="M57" s="100" t="s">
        <v>2500</v>
      </c>
      <c r="N57" s="101"/>
    </row>
    <row r="58">
      <c r="A58" s="98" t="s">
        <v>2068</v>
      </c>
      <c r="B58" s="98" t="s">
        <v>2501</v>
      </c>
      <c r="C58" s="98" t="s">
        <v>2502</v>
      </c>
      <c r="D58" s="99" t="s">
        <v>1793</v>
      </c>
      <c r="E58" s="100" t="s">
        <v>2065</v>
      </c>
      <c r="F58" s="100" t="s">
        <v>2066</v>
      </c>
      <c r="G58" s="98" t="s">
        <v>2503</v>
      </c>
      <c r="H58" s="98" t="s">
        <v>1799</v>
      </c>
      <c r="I58" s="98" t="s">
        <v>2504</v>
      </c>
      <c r="J58" s="98" t="s">
        <v>1800</v>
      </c>
      <c r="K58" s="98" t="s">
        <v>2505</v>
      </c>
      <c r="L58" s="100" t="s">
        <v>2506</v>
      </c>
      <c r="M58" s="100" t="s">
        <v>2507</v>
      </c>
      <c r="N58" s="101"/>
    </row>
    <row r="59">
      <c r="A59" s="98" t="s">
        <v>1519</v>
      </c>
      <c r="B59" s="98" t="s">
        <v>2508</v>
      </c>
      <c r="C59" s="98" t="s">
        <v>1486</v>
      </c>
      <c r="D59" s="99" t="s">
        <v>1819</v>
      </c>
      <c r="E59" s="100" t="s">
        <v>1334</v>
      </c>
      <c r="F59" s="100" t="s">
        <v>1494</v>
      </c>
      <c r="G59" s="98" t="s">
        <v>2344</v>
      </c>
      <c r="H59" s="98" t="s">
        <v>1799</v>
      </c>
      <c r="I59" s="98" t="s">
        <v>2156</v>
      </c>
      <c r="J59" s="98" t="s">
        <v>1799</v>
      </c>
      <c r="K59" s="98" t="s">
        <v>2084</v>
      </c>
      <c r="L59" s="100" t="s">
        <v>2495</v>
      </c>
      <c r="M59" s="100" t="s">
        <v>2510</v>
      </c>
      <c r="N59" s="101"/>
    </row>
    <row r="60">
      <c r="A60" s="98" t="s">
        <v>1760</v>
      </c>
      <c r="B60" s="98" t="s">
        <v>2511</v>
      </c>
      <c r="C60" s="98" t="s">
        <v>1750</v>
      </c>
      <c r="D60" s="99" t="s">
        <v>1793</v>
      </c>
      <c r="E60" s="100" t="s">
        <v>1752</v>
      </c>
      <c r="F60" s="100" t="s">
        <v>1754</v>
      </c>
      <c r="G60" s="98" t="s">
        <v>2512</v>
      </c>
      <c r="H60" s="98" t="s">
        <v>1799</v>
      </c>
      <c r="I60" s="98" t="s">
        <v>2513</v>
      </c>
      <c r="J60" s="98" t="s">
        <v>1799</v>
      </c>
      <c r="K60" s="98" t="s">
        <v>2514</v>
      </c>
      <c r="L60" s="100" t="s">
        <v>2515</v>
      </c>
      <c r="M60" s="100" t="s">
        <v>2516</v>
      </c>
    </row>
    <row r="61">
      <c r="A61" s="98" t="s">
        <v>1707</v>
      </c>
      <c r="B61" s="98" t="s">
        <v>2517</v>
      </c>
      <c r="C61" s="98" t="s">
        <v>2518</v>
      </c>
      <c r="D61" s="99" t="s">
        <v>1793</v>
      </c>
      <c r="E61" s="100" t="s">
        <v>1695</v>
      </c>
      <c r="F61" s="100" t="s">
        <v>1698</v>
      </c>
      <c r="G61" s="98" t="s">
        <v>2519</v>
      </c>
      <c r="H61" s="98" t="s">
        <v>1799</v>
      </c>
      <c r="I61" s="98" t="s">
        <v>2520</v>
      </c>
      <c r="J61" s="98" t="s">
        <v>1799</v>
      </c>
      <c r="K61" s="98" t="s">
        <v>2514</v>
      </c>
      <c r="L61" s="100" t="s">
        <v>2521</v>
      </c>
      <c r="M61" s="100" t="s">
        <v>2522</v>
      </c>
    </row>
    <row r="62">
      <c r="A62" s="98" t="s">
        <v>1761</v>
      </c>
      <c r="B62" s="98" t="s">
        <v>2523</v>
      </c>
      <c r="C62" s="98" t="s">
        <v>1763</v>
      </c>
      <c r="D62" s="99" t="s">
        <v>1793</v>
      </c>
      <c r="E62" s="100" t="s">
        <v>1764</v>
      </c>
      <c r="F62" s="100" t="s">
        <v>1765</v>
      </c>
      <c r="G62" s="98" t="s">
        <v>2524</v>
      </c>
      <c r="H62" s="98" t="s">
        <v>1799</v>
      </c>
      <c r="I62" s="98" t="s">
        <v>2525</v>
      </c>
      <c r="J62" s="98" t="s">
        <v>1800</v>
      </c>
      <c r="K62" s="98" t="s">
        <v>2526</v>
      </c>
      <c r="L62" s="100" t="s">
        <v>2527</v>
      </c>
      <c r="M62" s="100" t="s">
        <v>2528</v>
      </c>
    </row>
    <row r="63">
      <c r="A63" s="98" t="s">
        <v>2047</v>
      </c>
      <c r="B63" s="98" t="s">
        <v>2530</v>
      </c>
      <c r="C63" s="98" t="s">
        <v>2044</v>
      </c>
      <c r="D63" s="99" t="s">
        <v>1819</v>
      </c>
      <c r="E63" s="100" t="s">
        <v>2045</v>
      </c>
      <c r="F63" s="98" t="s">
        <v>2046</v>
      </c>
      <c r="G63" s="98" t="s">
        <v>2387</v>
      </c>
      <c r="H63" s="98" t="s">
        <v>1799</v>
      </c>
      <c r="I63" s="98" t="s">
        <v>2156</v>
      </c>
      <c r="J63" s="98" t="s">
        <v>1799</v>
      </c>
      <c r="K63" s="98" t="s">
        <v>2534</v>
      </c>
      <c r="L63" s="100" t="s">
        <v>2535</v>
      </c>
      <c r="M63" s="100" t="s">
        <v>2536</v>
      </c>
    </row>
    <row r="64">
      <c r="A64" s="98" t="s">
        <v>2052</v>
      </c>
      <c r="B64" s="98" t="s">
        <v>2537</v>
      </c>
      <c r="C64" s="98" t="s">
        <v>2049</v>
      </c>
      <c r="D64" s="99" t="s">
        <v>1793</v>
      </c>
      <c r="E64" s="100" t="s">
        <v>2050</v>
      </c>
      <c r="F64" s="98" t="s">
        <v>2051</v>
      </c>
      <c r="G64" s="98" t="s">
        <v>2539</v>
      </c>
      <c r="H64" s="98" t="s">
        <v>2540</v>
      </c>
      <c r="I64" s="98" t="s">
        <v>2542</v>
      </c>
      <c r="J64" s="98" t="s">
        <v>1800</v>
      </c>
      <c r="K64" s="98" t="s">
        <v>2534</v>
      </c>
      <c r="L64" s="100" t="s">
        <v>2544</v>
      </c>
      <c r="M64" s="100" t="s">
        <v>2545</v>
      </c>
    </row>
    <row r="65">
      <c r="A65" s="98" t="s">
        <v>2061</v>
      </c>
      <c r="B65" s="98" t="s">
        <v>2546</v>
      </c>
      <c r="C65" s="98" t="s">
        <v>2058</v>
      </c>
      <c r="D65" s="99" t="s">
        <v>1793</v>
      </c>
      <c r="E65" s="100" t="s">
        <v>2059</v>
      </c>
      <c r="F65" s="98" t="s">
        <v>2060</v>
      </c>
      <c r="G65" s="98" t="s">
        <v>2547</v>
      </c>
      <c r="H65" s="98" t="s">
        <v>1799</v>
      </c>
      <c r="I65" s="98" t="s">
        <v>2548</v>
      </c>
      <c r="J65" s="98" t="s">
        <v>1800</v>
      </c>
      <c r="K65" s="98" t="s">
        <v>2534</v>
      </c>
      <c r="L65" s="100" t="s">
        <v>2549</v>
      </c>
      <c r="M65" s="100" t="s">
        <v>2550</v>
      </c>
    </row>
    <row r="66">
      <c r="A66" s="98" t="s">
        <v>1771</v>
      </c>
      <c r="B66" s="98" t="s">
        <v>2551</v>
      </c>
      <c r="C66" s="98" t="s">
        <v>1768</v>
      </c>
      <c r="D66" s="99" t="s">
        <v>1819</v>
      </c>
      <c r="E66" s="100" t="s">
        <v>1769</v>
      </c>
      <c r="F66" s="98" t="s">
        <v>1770</v>
      </c>
      <c r="G66" s="98" t="s">
        <v>2553</v>
      </c>
      <c r="H66" s="98" t="s">
        <v>1799</v>
      </c>
      <c r="I66" s="98" t="s">
        <v>2156</v>
      </c>
      <c r="J66" s="98" t="s">
        <v>1799</v>
      </c>
      <c r="K66" s="98" t="s">
        <v>2554</v>
      </c>
      <c r="L66" s="100" t="s">
        <v>2298</v>
      </c>
      <c r="M66" s="100" t="s">
        <v>2555</v>
      </c>
    </row>
    <row r="67">
      <c r="A67" s="166" t="s">
        <v>2559</v>
      </c>
      <c r="B67" s="166" t="s">
        <v>2561</v>
      </c>
      <c r="C67" s="166" t="s">
        <v>2562</v>
      </c>
      <c r="D67" s="167" t="s">
        <v>2563</v>
      </c>
      <c r="E67" s="168" t="s">
        <v>2566</v>
      </c>
      <c r="F67" s="168" t="s">
        <v>2567</v>
      </c>
      <c r="G67" s="166" t="s">
        <v>2568</v>
      </c>
      <c r="H67" s="166" t="s">
        <v>2569</v>
      </c>
      <c r="I67" s="166" t="s">
        <v>2156</v>
      </c>
      <c r="J67" s="166" t="s">
        <v>1799</v>
      </c>
      <c r="K67" s="166" t="s">
        <v>2571</v>
      </c>
      <c r="L67" s="168" t="s">
        <v>2573</v>
      </c>
      <c r="M67" s="168" t="s">
        <v>2574</v>
      </c>
      <c r="N67" s="101"/>
    </row>
    <row r="68">
      <c r="A68" s="166" t="s">
        <v>2575</v>
      </c>
      <c r="B68" s="166" t="s">
        <v>2576</v>
      </c>
      <c r="C68" s="166" t="s">
        <v>2577</v>
      </c>
      <c r="D68" s="167" t="s">
        <v>2578</v>
      </c>
      <c r="E68" s="168" t="s">
        <v>2579</v>
      </c>
      <c r="F68" s="168" t="s">
        <v>2580</v>
      </c>
      <c r="G68" s="166" t="s">
        <v>2581</v>
      </c>
      <c r="H68" s="166" t="s">
        <v>2582</v>
      </c>
      <c r="I68" s="166" t="s">
        <v>2156</v>
      </c>
      <c r="J68" s="166" t="s">
        <v>1799</v>
      </c>
      <c r="K68" s="166" t="s">
        <v>2585</v>
      </c>
      <c r="L68" s="168" t="s">
        <v>2587</v>
      </c>
      <c r="M68" s="168" t="s">
        <v>2588</v>
      </c>
      <c r="N68" s="101"/>
    </row>
    <row r="69">
      <c r="A69" s="166" t="s">
        <v>2590</v>
      </c>
      <c r="B69" s="166" t="s">
        <v>2591</v>
      </c>
      <c r="C69" s="166" t="s">
        <v>2594</v>
      </c>
      <c r="D69" s="167" t="s">
        <v>2578</v>
      </c>
      <c r="E69" s="168" t="s">
        <v>2595</v>
      </c>
      <c r="F69" s="168" t="s">
        <v>2596</v>
      </c>
      <c r="G69" s="166" t="s">
        <v>2597</v>
      </c>
      <c r="H69" s="166" t="s">
        <v>1799</v>
      </c>
      <c r="I69" s="166" t="s">
        <v>2156</v>
      </c>
      <c r="J69" s="166" t="s">
        <v>1799</v>
      </c>
      <c r="K69" s="166" t="s">
        <v>2585</v>
      </c>
      <c r="L69" s="168" t="s">
        <v>2598</v>
      </c>
      <c r="M69" s="168" t="s">
        <v>2601</v>
      </c>
    </row>
    <row r="70">
      <c r="A70" s="166" t="s">
        <v>2604</v>
      </c>
      <c r="B70" s="166" t="s">
        <v>2605</v>
      </c>
      <c r="C70" s="166" t="s">
        <v>2606</v>
      </c>
      <c r="D70" s="167" t="s">
        <v>2578</v>
      </c>
      <c r="E70" s="168" t="s">
        <v>2607</v>
      </c>
      <c r="F70" s="166" t="s">
        <v>2608</v>
      </c>
      <c r="G70" s="166" t="s">
        <v>2609</v>
      </c>
      <c r="H70" s="166" t="s">
        <v>2569</v>
      </c>
      <c r="I70" s="166" t="s">
        <v>2156</v>
      </c>
      <c r="J70" s="166" t="s">
        <v>1799</v>
      </c>
      <c r="K70" s="166" t="s">
        <v>2571</v>
      </c>
      <c r="L70" s="168" t="s">
        <v>2611</v>
      </c>
      <c r="M70" s="168" t="s">
        <v>2614</v>
      </c>
    </row>
    <row r="71">
      <c r="A71" s="166" t="s">
        <v>2615</v>
      </c>
      <c r="B71" s="166" t="s">
        <v>2616</v>
      </c>
      <c r="C71" s="166" t="s">
        <v>2617</v>
      </c>
      <c r="D71" s="167" t="s">
        <v>2578</v>
      </c>
      <c r="E71" s="168" t="s">
        <v>2618</v>
      </c>
      <c r="F71" s="166" t="s">
        <v>2619</v>
      </c>
      <c r="G71" s="166" t="s">
        <v>2620</v>
      </c>
      <c r="H71" s="166" t="s">
        <v>2621</v>
      </c>
      <c r="I71" s="166" t="s">
        <v>2156</v>
      </c>
      <c r="J71" s="166" t="s">
        <v>1799</v>
      </c>
      <c r="K71" s="166" t="s">
        <v>2571</v>
      </c>
      <c r="L71" s="168" t="s">
        <v>2626</v>
      </c>
      <c r="M71" s="168" t="s">
        <v>2627</v>
      </c>
    </row>
    <row r="72">
      <c r="A72" s="166" t="s">
        <v>2628</v>
      </c>
      <c r="B72" s="166" t="s">
        <v>2629</v>
      </c>
      <c r="C72" s="166" t="s">
        <v>2630</v>
      </c>
      <c r="D72" s="167" t="s">
        <v>1846</v>
      </c>
      <c r="E72" s="168" t="s">
        <v>2631</v>
      </c>
      <c r="F72" s="166" t="s">
        <v>2633</v>
      </c>
      <c r="G72" s="166" t="s">
        <v>2634</v>
      </c>
      <c r="H72" s="166" t="s">
        <v>2636</v>
      </c>
      <c r="I72" s="166" t="s">
        <v>825</v>
      </c>
      <c r="J72" s="166" t="s">
        <v>1800</v>
      </c>
      <c r="K72" s="166" t="s">
        <v>2638</v>
      </c>
      <c r="L72" s="168" t="s">
        <v>2639</v>
      </c>
      <c r="M72" s="168" t="s">
        <v>2641</v>
      </c>
    </row>
    <row r="73">
      <c r="A73" s="166" t="s">
        <v>2642</v>
      </c>
      <c r="B73" s="166" t="s">
        <v>2643</v>
      </c>
      <c r="C73" s="166" t="s">
        <v>2644</v>
      </c>
      <c r="D73" s="167" t="s">
        <v>1846</v>
      </c>
      <c r="E73" s="168" t="s">
        <v>2645</v>
      </c>
      <c r="F73" s="166" t="s">
        <v>2646</v>
      </c>
      <c r="G73" s="166" t="s">
        <v>2647</v>
      </c>
      <c r="H73" s="166" t="s">
        <v>2648</v>
      </c>
      <c r="I73" s="166" t="s">
        <v>2649</v>
      </c>
      <c r="J73" s="166" t="s">
        <v>1800</v>
      </c>
      <c r="K73" s="166" t="s">
        <v>2638</v>
      </c>
      <c r="L73" s="168" t="s">
        <v>2650</v>
      </c>
      <c r="M73" s="168" t="s">
        <v>2651</v>
      </c>
    </row>
    <row r="74">
      <c r="A74" s="166" t="s">
        <v>2652</v>
      </c>
      <c r="B74" s="166" t="s">
        <v>2653</v>
      </c>
      <c r="C74" s="166" t="s">
        <v>2655</v>
      </c>
      <c r="D74" s="167" t="s">
        <v>1846</v>
      </c>
      <c r="E74" s="168" t="s">
        <v>2657</v>
      </c>
      <c r="F74" s="166" t="s">
        <v>2658</v>
      </c>
      <c r="G74" s="166" t="s">
        <v>2659</v>
      </c>
      <c r="H74" s="166" t="s">
        <v>2660</v>
      </c>
      <c r="I74" s="166" t="s">
        <v>2662</v>
      </c>
      <c r="J74" s="166" t="s">
        <v>1800</v>
      </c>
      <c r="K74" s="166" t="s">
        <v>2638</v>
      </c>
      <c r="L74" s="168" t="s">
        <v>2664</v>
      </c>
      <c r="M74" s="168" t="s">
        <v>2665</v>
      </c>
    </row>
    <row r="75">
      <c r="A75" s="166" t="s">
        <v>2667</v>
      </c>
      <c r="B75" s="166" t="s">
        <v>2668</v>
      </c>
      <c r="C75" s="166" t="s">
        <v>2669</v>
      </c>
      <c r="D75" s="167" t="s">
        <v>1846</v>
      </c>
      <c r="E75" s="168" t="s">
        <v>2670</v>
      </c>
      <c r="F75" s="166" t="s">
        <v>2671</v>
      </c>
      <c r="G75" s="166" t="s">
        <v>2672</v>
      </c>
      <c r="H75" s="166" t="s">
        <v>2673</v>
      </c>
      <c r="I75" s="166" t="s">
        <v>2674</v>
      </c>
      <c r="J75" s="166" t="s">
        <v>1800</v>
      </c>
      <c r="K75" s="166" t="s">
        <v>2638</v>
      </c>
      <c r="L75" s="168" t="s">
        <v>2675</v>
      </c>
      <c r="M75" s="168" t="s">
        <v>2676</v>
      </c>
    </row>
    <row r="76">
      <c r="A76" s="166" t="s">
        <v>2677</v>
      </c>
      <c r="B76" s="166" t="s">
        <v>2678</v>
      </c>
      <c r="C76" s="166" t="s">
        <v>2679</v>
      </c>
      <c r="D76" s="167" t="s">
        <v>1846</v>
      </c>
      <c r="E76" s="168" t="s">
        <v>2680</v>
      </c>
      <c r="F76" s="166" t="s">
        <v>2681</v>
      </c>
      <c r="G76" s="166" t="s">
        <v>2682</v>
      </c>
      <c r="H76" s="166" t="s">
        <v>2683</v>
      </c>
      <c r="I76" s="166" t="s">
        <v>2684</v>
      </c>
      <c r="J76" s="166" t="s">
        <v>1800</v>
      </c>
      <c r="K76" s="166" t="s">
        <v>2638</v>
      </c>
      <c r="L76" s="168" t="s">
        <v>2685</v>
      </c>
      <c r="M76" s="168" t="s">
        <v>2686</v>
      </c>
    </row>
    <row r="77">
      <c r="D77" s="88"/>
    </row>
    <row r="78">
      <c r="D78" s="88"/>
    </row>
    <row r="79">
      <c r="D79" s="88"/>
    </row>
    <row r="80">
      <c r="D80" s="88"/>
    </row>
    <row r="81">
      <c r="D81" s="88"/>
    </row>
    <row r="82">
      <c r="D82" s="88"/>
    </row>
    <row r="83">
      <c r="D83" s="88"/>
    </row>
    <row r="84">
      <c r="D84" s="88"/>
    </row>
    <row r="85">
      <c r="D85" s="88"/>
    </row>
    <row r="86">
      <c r="D86" s="88"/>
    </row>
    <row r="87">
      <c r="D87" s="88"/>
    </row>
    <row r="88">
      <c r="D88" s="88"/>
    </row>
    <row r="89">
      <c r="D89" s="88"/>
    </row>
    <row r="90">
      <c r="D90" s="88"/>
    </row>
    <row r="91">
      <c r="D91" s="88"/>
    </row>
    <row r="92">
      <c r="D92" s="88"/>
    </row>
    <row r="93">
      <c r="D93" s="88"/>
    </row>
    <row r="94">
      <c r="D94" s="88"/>
    </row>
    <row r="95">
      <c r="D95" s="88"/>
    </row>
    <row r="96">
      <c r="D96" s="88"/>
    </row>
    <row r="97">
      <c r="D97" s="88"/>
    </row>
    <row r="98">
      <c r="D98" s="88"/>
    </row>
    <row r="99">
      <c r="D99" s="88"/>
    </row>
    <row r="100">
      <c r="D100" s="88"/>
    </row>
    <row r="101">
      <c r="D101" s="88"/>
    </row>
    <row r="102">
      <c r="D102" s="88"/>
    </row>
    <row r="103">
      <c r="D103" s="88"/>
    </row>
    <row r="104">
      <c r="D104" s="88"/>
    </row>
    <row r="105">
      <c r="D105" s="88"/>
    </row>
    <row r="106">
      <c r="D106" s="88"/>
    </row>
    <row r="107">
      <c r="D107" s="88"/>
    </row>
    <row r="108">
      <c r="D108" s="88"/>
    </row>
    <row r="109">
      <c r="D109" s="88"/>
    </row>
    <row r="110">
      <c r="D110" s="88"/>
    </row>
    <row r="111">
      <c r="D111" s="88"/>
    </row>
    <row r="112">
      <c r="D112" s="88"/>
    </row>
    <row r="113">
      <c r="D113" s="88"/>
    </row>
    <row r="114">
      <c r="D114" s="88"/>
    </row>
    <row r="115">
      <c r="D115" s="88"/>
    </row>
    <row r="116">
      <c r="D116" s="88"/>
    </row>
    <row r="117">
      <c r="D117" s="88"/>
    </row>
    <row r="118">
      <c r="D118" s="88"/>
    </row>
    <row r="119">
      <c r="D119" s="88"/>
    </row>
    <row r="120">
      <c r="D120" s="88"/>
    </row>
    <row r="121">
      <c r="D121" s="88"/>
    </row>
    <row r="122">
      <c r="D122" s="88"/>
    </row>
    <row r="123">
      <c r="D123" s="88"/>
    </row>
    <row r="124">
      <c r="D124" s="88"/>
    </row>
    <row r="125">
      <c r="D125" s="88"/>
    </row>
    <row r="126">
      <c r="D126" s="88"/>
    </row>
    <row r="127">
      <c r="D127" s="88"/>
    </row>
    <row r="128">
      <c r="D128" s="88"/>
    </row>
    <row r="129">
      <c r="D129" s="88"/>
    </row>
    <row r="130">
      <c r="D130" s="88"/>
    </row>
    <row r="131">
      <c r="D131" s="88"/>
    </row>
    <row r="132">
      <c r="D132" s="88"/>
    </row>
    <row r="133">
      <c r="D133" s="88"/>
    </row>
    <row r="134">
      <c r="D134" s="88"/>
    </row>
    <row r="135">
      <c r="D135" s="88"/>
    </row>
    <row r="136">
      <c r="D136" s="88"/>
    </row>
    <row r="137">
      <c r="D137" s="88"/>
    </row>
    <row r="138">
      <c r="D138" s="88"/>
    </row>
    <row r="139">
      <c r="D139" s="88"/>
    </row>
    <row r="140">
      <c r="D140" s="88"/>
    </row>
    <row r="141">
      <c r="D141" s="88"/>
    </row>
    <row r="142">
      <c r="D142" s="88"/>
    </row>
    <row r="143">
      <c r="D143" s="88"/>
    </row>
    <row r="144">
      <c r="D144" s="88"/>
    </row>
    <row r="145">
      <c r="D145" s="88"/>
    </row>
    <row r="146">
      <c r="D146" s="88"/>
    </row>
    <row r="147">
      <c r="D147" s="88"/>
    </row>
    <row r="148">
      <c r="D148" s="88"/>
    </row>
    <row r="149">
      <c r="D149" s="88"/>
    </row>
    <row r="150">
      <c r="D150" s="88"/>
    </row>
    <row r="151">
      <c r="D151" s="88"/>
    </row>
    <row r="152">
      <c r="D152" s="88"/>
    </row>
    <row r="153">
      <c r="D153" s="88"/>
    </row>
    <row r="154">
      <c r="D154" s="88"/>
    </row>
    <row r="155">
      <c r="D155" s="88"/>
    </row>
    <row r="156">
      <c r="D156" s="88"/>
    </row>
    <row r="157">
      <c r="D157" s="88"/>
    </row>
    <row r="158">
      <c r="D158" s="88"/>
    </row>
    <row r="159">
      <c r="D159" s="88"/>
    </row>
    <row r="160">
      <c r="D160" s="88"/>
    </row>
    <row r="161">
      <c r="D161" s="88"/>
    </row>
    <row r="162">
      <c r="D162" s="88"/>
    </row>
    <row r="163">
      <c r="D163" s="88"/>
    </row>
    <row r="164">
      <c r="D164" s="88"/>
    </row>
    <row r="165">
      <c r="D165" s="88"/>
    </row>
    <row r="166">
      <c r="D166" s="88"/>
    </row>
    <row r="167">
      <c r="D167" s="88"/>
    </row>
    <row r="168">
      <c r="D168" s="88"/>
    </row>
    <row r="169">
      <c r="D169" s="88"/>
    </row>
    <row r="170">
      <c r="D170" s="88"/>
    </row>
    <row r="171">
      <c r="D171" s="88"/>
    </row>
    <row r="172">
      <c r="D172" s="88"/>
    </row>
    <row r="173">
      <c r="D173" s="88"/>
    </row>
    <row r="174">
      <c r="D174" s="88"/>
    </row>
    <row r="175">
      <c r="D175" s="88"/>
    </row>
    <row r="176">
      <c r="D176" s="88"/>
    </row>
    <row r="177">
      <c r="D177" s="88"/>
    </row>
    <row r="178">
      <c r="D178" s="88"/>
    </row>
    <row r="179">
      <c r="D179" s="88"/>
    </row>
    <row r="180">
      <c r="D180" s="88"/>
    </row>
    <row r="181">
      <c r="D181" s="88"/>
    </row>
    <row r="182">
      <c r="D182" s="88"/>
    </row>
    <row r="183">
      <c r="D183" s="88"/>
    </row>
    <row r="184">
      <c r="D184" s="88"/>
    </row>
    <row r="185">
      <c r="D185" s="88"/>
    </row>
    <row r="186">
      <c r="D186" s="88"/>
    </row>
    <row r="187">
      <c r="D187" s="88"/>
    </row>
    <row r="188">
      <c r="D188" s="88"/>
    </row>
    <row r="189">
      <c r="D189" s="88"/>
    </row>
    <row r="190">
      <c r="D190" s="88"/>
    </row>
    <row r="191">
      <c r="D191" s="88"/>
    </row>
    <row r="192">
      <c r="D192" s="88"/>
    </row>
    <row r="193">
      <c r="D193" s="88"/>
    </row>
    <row r="194">
      <c r="D194" s="88"/>
    </row>
    <row r="195">
      <c r="D195" s="88"/>
    </row>
    <row r="196">
      <c r="D196" s="88"/>
    </row>
    <row r="197">
      <c r="D197" s="88"/>
    </row>
    <row r="198">
      <c r="D198" s="88"/>
    </row>
    <row r="199">
      <c r="D199" s="88"/>
    </row>
    <row r="200">
      <c r="D200" s="88"/>
    </row>
    <row r="201">
      <c r="D201" s="88"/>
    </row>
    <row r="202">
      <c r="D202" s="88"/>
    </row>
    <row r="203">
      <c r="D203" s="88"/>
    </row>
    <row r="204">
      <c r="D204" s="88"/>
    </row>
    <row r="205">
      <c r="D205" s="88"/>
    </row>
    <row r="206">
      <c r="D206" s="88"/>
    </row>
    <row r="207">
      <c r="D207" s="88"/>
    </row>
    <row r="208">
      <c r="D208" s="88"/>
    </row>
    <row r="209">
      <c r="D209" s="88"/>
    </row>
    <row r="210">
      <c r="D210" s="88"/>
    </row>
    <row r="211">
      <c r="D211" s="88"/>
    </row>
    <row r="212">
      <c r="D212" s="88"/>
    </row>
    <row r="213">
      <c r="D213" s="88"/>
    </row>
    <row r="214">
      <c r="D214" s="88"/>
    </row>
    <row r="215">
      <c r="D215" s="88"/>
    </row>
    <row r="216">
      <c r="D216" s="88"/>
    </row>
    <row r="217">
      <c r="D217" s="88"/>
    </row>
    <row r="218">
      <c r="D218" s="88"/>
    </row>
    <row r="219">
      <c r="D219" s="88"/>
    </row>
    <row r="220">
      <c r="D220" s="88"/>
    </row>
    <row r="221">
      <c r="D221" s="88"/>
    </row>
    <row r="222">
      <c r="D222" s="88"/>
    </row>
    <row r="223">
      <c r="D223" s="88"/>
    </row>
    <row r="224">
      <c r="D224" s="88"/>
    </row>
    <row r="225">
      <c r="D225" s="88"/>
    </row>
    <row r="226">
      <c r="D226" s="88"/>
    </row>
    <row r="227">
      <c r="D227" s="88"/>
    </row>
    <row r="228">
      <c r="D228" s="88"/>
    </row>
    <row r="229">
      <c r="D229" s="88"/>
    </row>
    <row r="230">
      <c r="D230" s="88"/>
    </row>
    <row r="231">
      <c r="D231" s="88"/>
    </row>
    <row r="232">
      <c r="D232" s="88"/>
    </row>
    <row r="233">
      <c r="D233" s="88"/>
    </row>
    <row r="234">
      <c r="D234" s="88"/>
    </row>
    <row r="235">
      <c r="D235" s="88"/>
    </row>
    <row r="236">
      <c r="D236" s="88"/>
    </row>
    <row r="237">
      <c r="D237" s="88"/>
    </row>
    <row r="238">
      <c r="D238" s="88"/>
    </row>
    <row r="239">
      <c r="D239" s="88"/>
    </row>
    <row r="240">
      <c r="D240" s="88"/>
    </row>
    <row r="241">
      <c r="D241" s="88"/>
    </row>
    <row r="242">
      <c r="D242" s="88"/>
    </row>
    <row r="243">
      <c r="D243" s="88"/>
    </row>
    <row r="244">
      <c r="D244" s="88"/>
    </row>
    <row r="245">
      <c r="D245" s="88"/>
    </row>
    <row r="246">
      <c r="D246" s="88"/>
    </row>
    <row r="247">
      <c r="D247" s="88"/>
    </row>
    <row r="248">
      <c r="D248" s="88"/>
    </row>
    <row r="249">
      <c r="D249" s="88"/>
    </row>
    <row r="250">
      <c r="D250" s="88"/>
    </row>
    <row r="251">
      <c r="D251" s="88"/>
    </row>
    <row r="252">
      <c r="D252" s="88"/>
    </row>
    <row r="253">
      <c r="D253" s="88"/>
    </row>
    <row r="254">
      <c r="D254" s="88"/>
    </row>
    <row r="255">
      <c r="D255" s="88"/>
    </row>
    <row r="256">
      <c r="D256" s="88"/>
    </row>
    <row r="257">
      <c r="D257" s="88"/>
    </row>
    <row r="258">
      <c r="D258" s="88"/>
    </row>
    <row r="259">
      <c r="D259" s="88"/>
    </row>
    <row r="260">
      <c r="D260" s="88"/>
    </row>
    <row r="261">
      <c r="D261" s="88"/>
    </row>
    <row r="262">
      <c r="D262" s="88"/>
    </row>
    <row r="263">
      <c r="D263" s="88"/>
    </row>
    <row r="264">
      <c r="D264" s="88"/>
    </row>
    <row r="265">
      <c r="D265" s="88"/>
    </row>
    <row r="266">
      <c r="D266" s="88"/>
    </row>
    <row r="267">
      <c r="D267" s="88"/>
    </row>
    <row r="268">
      <c r="D268" s="88"/>
    </row>
    <row r="269">
      <c r="D269" s="88"/>
    </row>
    <row r="270">
      <c r="D270" s="88"/>
    </row>
    <row r="271">
      <c r="D271" s="88"/>
    </row>
    <row r="272">
      <c r="D272" s="88"/>
    </row>
    <row r="273">
      <c r="D273" s="88"/>
    </row>
    <row r="274">
      <c r="D274" s="88"/>
    </row>
    <row r="275">
      <c r="D275" s="88"/>
    </row>
    <row r="276">
      <c r="D276" s="88"/>
    </row>
    <row r="277">
      <c r="D277" s="88"/>
    </row>
    <row r="278">
      <c r="D278" s="88"/>
    </row>
    <row r="279">
      <c r="D279" s="88"/>
    </row>
    <row r="280">
      <c r="D280" s="88"/>
    </row>
    <row r="281">
      <c r="D281" s="88"/>
    </row>
    <row r="282">
      <c r="D282" s="88"/>
    </row>
    <row r="283">
      <c r="D283" s="88"/>
    </row>
    <row r="284">
      <c r="D284" s="88"/>
    </row>
    <row r="285">
      <c r="D285" s="88"/>
    </row>
    <row r="286">
      <c r="D286" s="88"/>
    </row>
    <row r="287">
      <c r="D287" s="88"/>
    </row>
    <row r="288">
      <c r="D288" s="88"/>
    </row>
    <row r="289">
      <c r="D289" s="88"/>
    </row>
    <row r="290">
      <c r="D290" s="88"/>
    </row>
    <row r="291">
      <c r="D291" s="88"/>
    </row>
    <row r="292">
      <c r="D292" s="88"/>
    </row>
    <row r="293">
      <c r="D293" s="88"/>
    </row>
    <row r="294">
      <c r="D294" s="88"/>
    </row>
    <row r="295">
      <c r="D295" s="88"/>
    </row>
    <row r="296">
      <c r="D296" s="88"/>
    </row>
    <row r="297">
      <c r="D297" s="88"/>
    </row>
    <row r="298">
      <c r="D298" s="88"/>
    </row>
    <row r="299">
      <c r="D299" s="88"/>
    </row>
    <row r="300">
      <c r="D300" s="88"/>
    </row>
    <row r="301">
      <c r="D301" s="88"/>
    </row>
    <row r="302">
      <c r="D302" s="88"/>
    </row>
    <row r="303">
      <c r="D303" s="88"/>
    </row>
    <row r="304">
      <c r="D304" s="88"/>
    </row>
    <row r="305">
      <c r="D305" s="88"/>
    </row>
    <row r="306">
      <c r="D306" s="88"/>
    </row>
    <row r="307">
      <c r="D307" s="88"/>
    </row>
    <row r="308">
      <c r="D308" s="88"/>
    </row>
    <row r="309">
      <c r="D309" s="88"/>
    </row>
    <row r="310">
      <c r="D310" s="88"/>
    </row>
    <row r="311">
      <c r="D311" s="88"/>
    </row>
    <row r="312">
      <c r="D312" s="88"/>
    </row>
    <row r="313">
      <c r="D313" s="88"/>
    </row>
    <row r="314">
      <c r="D314" s="88"/>
    </row>
    <row r="315">
      <c r="D315" s="88"/>
    </row>
    <row r="316">
      <c r="D316" s="88"/>
    </row>
    <row r="317">
      <c r="D317" s="88"/>
    </row>
    <row r="318">
      <c r="D318" s="88"/>
    </row>
    <row r="319">
      <c r="D319" s="88"/>
    </row>
    <row r="320">
      <c r="D320" s="88"/>
    </row>
    <row r="321">
      <c r="D321" s="88"/>
    </row>
    <row r="322">
      <c r="D322" s="88"/>
    </row>
    <row r="323">
      <c r="D323" s="88"/>
    </row>
    <row r="324">
      <c r="D324" s="88"/>
    </row>
    <row r="325">
      <c r="D325" s="88"/>
    </row>
    <row r="326">
      <c r="D326" s="88"/>
    </row>
    <row r="327">
      <c r="D327" s="88"/>
    </row>
    <row r="328">
      <c r="D328" s="88"/>
    </row>
    <row r="329">
      <c r="D329" s="88"/>
    </row>
    <row r="330">
      <c r="D330" s="88"/>
    </row>
    <row r="331">
      <c r="D331" s="88"/>
    </row>
    <row r="332">
      <c r="D332" s="88"/>
    </row>
    <row r="333">
      <c r="D333" s="88"/>
    </row>
    <row r="334">
      <c r="D334" s="88"/>
    </row>
    <row r="335">
      <c r="D335" s="88"/>
    </row>
    <row r="336">
      <c r="D336" s="88"/>
    </row>
    <row r="337">
      <c r="D337" s="88"/>
    </row>
    <row r="338">
      <c r="D338" s="88"/>
    </row>
    <row r="339">
      <c r="D339" s="88"/>
    </row>
    <row r="340">
      <c r="D340" s="88"/>
    </row>
    <row r="341">
      <c r="D341" s="88"/>
    </row>
    <row r="342">
      <c r="D342" s="88"/>
    </row>
    <row r="343">
      <c r="D343" s="88"/>
    </row>
    <row r="344">
      <c r="D344" s="88"/>
    </row>
    <row r="345">
      <c r="D345" s="88"/>
    </row>
    <row r="346">
      <c r="D346" s="88"/>
    </row>
    <row r="347">
      <c r="D347" s="88"/>
    </row>
    <row r="348">
      <c r="D348" s="88"/>
    </row>
    <row r="349">
      <c r="D349" s="88"/>
    </row>
    <row r="350">
      <c r="D350" s="88"/>
    </row>
    <row r="351">
      <c r="D351" s="88"/>
    </row>
    <row r="352">
      <c r="D352" s="88"/>
    </row>
    <row r="353">
      <c r="D353" s="88"/>
    </row>
    <row r="354">
      <c r="D354" s="88"/>
    </row>
    <row r="355">
      <c r="D355" s="88"/>
    </row>
    <row r="356">
      <c r="D356" s="88"/>
    </row>
    <row r="357">
      <c r="D357" s="88"/>
    </row>
    <row r="358">
      <c r="D358" s="88"/>
    </row>
    <row r="359">
      <c r="D359" s="88"/>
    </row>
    <row r="360">
      <c r="D360" s="88"/>
    </row>
    <row r="361">
      <c r="D361" s="88"/>
    </row>
    <row r="362">
      <c r="D362" s="88"/>
    </row>
    <row r="363">
      <c r="D363" s="88"/>
    </row>
    <row r="364">
      <c r="D364" s="88"/>
    </row>
    <row r="365">
      <c r="D365" s="88"/>
    </row>
    <row r="366">
      <c r="D366" s="88"/>
    </row>
    <row r="367">
      <c r="D367" s="88"/>
    </row>
    <row r="368">
      <c r="D368" s="88"/>
    </row>
    <row r="369">
      <c r="D369" s="88"/>
    </row>
    <row r="370">
      <c r="D370" s="88"/>
    </row>
    <row r="371">
      <c r="D371" s="88"/>
    </row>
    <row r="372">
      <c r="D372" s="88"/>
    </row>
    <row r="373">
      <c r="D373" s="88"/>
    </row>
    <row r="374">
      <c r="D374" s="88"/>
    </row>
    <row r="375">
      <c r="D375" s="88"/>
    </row>
    <row r="376">
      <c r="D376" s="88"/>
    </row>
    <row r="377">
      <c r="D377" s="88"/>
    </row>
    <row r="378">
      <c r="D378" s="88"/>
    </row>
    <row r="379">
      <c r="D379" s="88"/>
    </row>
    <row r="380">
      <c r="D380" s="88"/>
    </row>
    <row r="381">
      <c r="D381" s="88"/>
    </row>
    <row r="382">
      <c r="D382" s="88"/>
    </row>
    <row r="383">
      <c r="D383" s="88"/>
    </row>
    <row r="384">
      <c r="D384" s="88"/>
    </row>
    <row r="385">
      <c r="D385" s="88"/>
    </row>
    <row r="386">
      <c r="D386" s="88"/>
    </row>
    <row r="387">
      <c r="D387" s="88"/>
    </row>
    <row r="388">
      <c r="D388" s="88"/>
    </row>
    <row r="389">
      <c r="D389" s="88"/>
    </row>
    <row r="390">
      <c r="D390" s="88"/>
    </row>
    <row r="391">
      <c r="D391" s="88"/>
    </row>
    <row r="392">
      <c r="D392" s="88"/>
    </row>
    <row r="393">
      <c r="D393" s="88"/>
    </row>
    <row r="394">
      <c r="D394" s="88"/>
    </row>
    <row r="395">
      <c r="D395" s="88"/>
    </row>
    <row r="396">
      <c r="D396" s="88"/>
    </row>
    <row r="397">
      <c r="D397" s="88"/>
    </row>
    <row r="398">
      <c r="D398" s="88"/>
    </row>
    <row r="399">
      <c r="D399" s="88"/>
    </row>
    <row r="400">
      <c r="D400" s="88"/>
    </row>
    <row r="401">
      <c r="D401" s="88"/>
    </row>
    <row r="402">
      <c r="D402" s="88"/>
    </row>
    <row r="403">
      <c r="D403" s="88"/>
    </row>
    <row r="404">
      <c r="D404" s="88"/>
    </row>
    <row r="405">
      <c r="D405" s="88"/>
    </row>
    <row r="406">
      <c r="D406" s="88"/>
    </row>
    <row r="407">
      <c r="D407" s="88"/>
    </row>
    <row r="408">
      <c r="D408" s="88"/>
    </row>
    <row r="409">
      <c r="D409" s="88"/>
    </row>
    <row r="410">
      <c r="D410" s="88"/>
    </row>
    <row r="411">
      <c r="D411" s="88"/>
    </row>
    <row r="412">
      <c r="D412" s="88"/>
    </row>
    <row r="413">
      <c r="D413" s="88"/>
    </row>
    <row r="414">
      <c r="D414" s="88"/>
    </row>
    <row r="415">
      <c r="D415" s="88"/>
    </row>
    <row r="416">
      <c r="D416" s="88"/>
    </row>
    <row r="417">
      <c r="D417" s="88"/>
    </row>
    <row r="418">
      <c r="D418" s="88"/>
    </row>
    <row r="419">
      <c r="D419" s="88"/>
    </row>
    <row r="420">
      <c r="D420" s="88"/>
    </row>
    <row r="421">
      <c r="D421" s="88"/>
    </row>
    <row r="422">
      <c r="D422" s="88"/>
    </row>
    <row r="423">
      <c r="D423" s="88"/>
    </row>
    <row r="424">
      <c r="D424" s="88"/>
    </row>
    <row r="425">
      <c r="D425" s="88"/>
    </row>
    <row r="426">
      <c r="D426" s="88"/>
    </row>
    <row r="427">
      <c r="D427" s="88"/>
    </row>
    <row r="428">
      <c r="D428" s="88"/>
    </row>
    <row r="429">
      <c r="D429" s="88"/>
    </row>
    <row r="430">
      <c r="D430" s="88"/>
    </row>
    <row r="431">
      <c r="D431" s="88"/>
    </row>
    <row r="432">
      <c r="D432" s="88"/>
    </row>
    <row r="433">
      <c r="D433" s="88"/>
    </row>
    <row r="434">
      <c r="D434" s="88"/>
    </row>
    <row r="435">
      <c r="D435" s="88"/>
    </row>
    <row r="436">
      <c r="D436" s="88"/>
    </row>
    <row r="437">
      <c r="D437" s="88"/>
    </row>
    <row r="438">
      <c r="D438" s="88"/>
    </row>
    <row r="439">
      <c r="D439" s="88"/>
    </row>
    <row r="440">
      <c r="D440" s="88"/>
    </row>
    <row r="441">
      <c r="D441" s="88"/>
    </row>
    <row r="442">
      <c r="D442" s="88"/>
    </row>
    <row r="443">
      <c r="D443" s="88"/>
    </row>
    <row r="444">
      <c r="D444" s="88"/>
    </row>
    <row r="445">
      <c r="D445" s="88"/>
    </row>
    <row r="446">
      <c r="D446" s="88"/>
    </row>
    <row r="447">
      <c r="D447" s="88"/>
    </row>
    <row r="448">
      <c r="D448" s="88"/>
    </row>
    <row r="449">
      <c r="D449" s="88"/>
    </row>
    <row r="450">
      <c r="D450" s="88"/>
    </row>
    <row r="451">
      <c r="D451" s="88"/>
    </row>
    <row r="452">
      <c r="D452" s="88"/>
    </row>
    <row r="453">
      <c r="D453" s="88"/>
    </row>
    <row r="454">
      <c r="D454" s="88"/>
    </row>
    <row r="455">
      <c r="D455" s="88"/>
    </row>
    <row r="456">
      <c r="D456" s="88"/>
    </row>
    <row r="457">
      <c r="D457" s="88"/>
    </row>
    <row r="458">
      <c r="D458" s="88"/>
    </row>
    <row r="459">
      <c r="D459" s="88"/>
    </row>
    <row r="460">
      <c r="D460" s="88"/>
    </row>
    <row r="461">
      <c r="D461" s="88"/>
    </row>
    <row r="462">
      <c r="D462" s="88"/>
    </row>
    <row r="463">
      <c r="D463" s="88"/>
    </row>
    <row r="464">
      <c r="D464" s="88"/>
    </row>
    <row r="465">
      <c r="D465" s="88"/>
    </row>
    <row r="466">
      <c r="D466" s="88"/>
    </row>
    <row r="467">
      <c r="D467" s="88"/>
    </row>
    <row r="468">
      <c r="D468" s="88"/>
    </row>
    <row r="469">
      <c r="D469" s="88"/>
    </row>
    <row r="470">
      <c r="D470" s="88"/>
    </row>
    <row r="471">
      <c r="D471" s="88"/>
    </row>
    <row r="472">
      <c r="D472" s="88"/>
    </row>
    <row r="473">
      <c r="D473" s="88"/>
    </row>
    <row r="474">
      <c r="D474" s="88"/>
    </row>
    <row r="475">
      <c r="D475" s="88"/>
    </row>
    <row r="476">
      <c r="D476" s="88"/>
    </row>
    <row r="477">
      <c r="D477" s="88"/>
    </row>
    <row r="478">
      <c r="D478" s="88"/>
    </row>
    <row r="479">
      <c r="D479" s="88"/>
    </row>
    <row r="480">
      <c r="D480" s="88"/>
    </row>
    <row r="481">
      <c r="D481" s="88"/>
    </row>
    <row r="482">
      <c r="D482" s="88"/>
    </row>
    <row r="483">
      <c r="D483" s="88"/>
    </row>
    <row r="484">
      <c r="D484" s="88"/>
    </row>
    <row r="485">
      <c r="D485" s="88"/>
    </row>
    <row r="486">
      <c r="D486" s="88"/>
    </row>
    <row r="487">
      <c r="D487" s="88"/>
    </row>
    <row r="488">
      <c r="D488" s="88"/>
    </row>
    <row r="489">
      <c r="D489" s="88"/>
    </row>
    <row r="490">
      <c r="D490" s="88"/>
    </row>
    <row r="491">
      <c r="D491" s="88"/>
    </row>
    <row r="492">
      <c r="D492" s="88"/>
    </row>
    <row r="493">
      <c r="D493" s="88"/>
    </row>
    <row r="494">
      <c r="D494" s="88"/>
    </row>
    <row r="495">
      <c r="D495" s="88"/>
    </row>
    <row r="496">
      <c r="D496" s="88"/>
    </row>
    <row r="497">
      <c r="D497" s="88"/>
    </row>
    <row r="498">
      <c r="D498" s="88"/>
    </row>
    <row r="499">
      <c r="D499" s="88"/>
    </row>
    <row r="500">
      <c r="D500" s="88"/>
    </row>
    <row r="501">
      <c r="D501" s="88"/>
    </row>
    <row r="502">
      <c r="D502" s="88"/>
    </row>
    <row r="503">
      <c r="D503" s="88"/>
    </row>
    <row r="504">
      <c r="D504" s="88"/>
    </row>
    <row r="505">
      <c r="D505" s="88"/>
    </row>
    <row r="506">
      <c r="D506" s="88"/>
    </row>
    <row r="507">
      <c r="D507" s="88"/>
    </row>
    <row r="508">
      <c r="D508" s="88"/>
    </row>
    <row r="509">
      <c r="D509" s="88"/>
    </row>
    <row r="510">
      <c r="D510" s="88"/>
    </row>
    <row r="511">
      <c r="D511" s="88"/>
    </row>
    <row r="512">
      <c r="D512" s="88"/>
    </row>
    <row r="513">
      <c r="D513" s="88"/>
    </row>
    <row r="514">
      <c r="D514" s="88"/>
    </row>
    <row r="515">
      <c r="D515" s="88"/>
    </row>
    <row r="516">
      <c r="D516" s="88"/>
    </row>
    <row r="517">
      <c r="D517" s="88"/>
    </row>
    <row r="518">
      <c r="D518" s="88"/>
    </row>
    <row r="519">
      <c r="D519" s="88"/>
    </row>
    <row r="520">
      <c r="D520" s="88"/>
    </row>
    <row r="521">
      <c r="D521" s="88"/>
    </row>
    <row r="522">
      <c r="D522" s="88"/>
    </row>
    <row r="523">
      <c r="D523" s="88"/>
    </row>
    <row r="524">
      <c r="D524" s="88"/>
    </row>
    <row r="525">
      <c r="D525" s="88"/>
    </row>
    <row r="526">
      <c r="D526" s="88"/>
    </row>
    <row r="527">
      <c r="D527" s="88"/>
    </row>
    <row r="528">
      <c r="D528" s="88"/>
    </row>
    <row r="529">
      <c r="D529" s="88"/>
    </row>
    <row r="530">
      <c r="D530" s="88"/>
    </row>
    <row r="531">
      <c r="D531" s="88"/>
    </row>
    <row r="532">
      <c r="D532" s="88"/>
    </row>
    <row r="533">
      <c r="D533" s="88"/>
    </row>
    <row r="534">
      <c r="D534" s="88"/>
    </row>
    <row r="535">
      <c r="D535" s="88"/>
    </row>
    <row r="536">
      <c r="D536" s="88"/>
    </row>
    <row r="537">
      <c r="D537" s="88"/>
    </row>
    <row r="538">
      <c r="D538" s="88"/>
    </row>
    <row r="539">
      <c r="D539" s="88"/>
    </row>
    <row r="540">
      <c r="D540" s="88"/>
    </row>
    <row r="541">
      <c r="D541" s="88"/>
    </row>
    <row r="542">
      <c r="D542" s="88"/>
    </row>
    <row r="543">
      <c r="D543" s="88"/>
    </row>
    <row r="544">
      <c r="D544" s="88"/>
    </row>
    <row r="545">
      <c r="D545" s="88"/>
    </row>
    <row r="546">
      <c r="D546" s="88"/>
    </row>
    <row r="547">
      <c r="D547" s="88"/>
    </row>
    <row r="548">
      <c r="D548" s="88"/>
    </row>
    <row r="549">
      <c r="D549" s="88"/>
    </row>
    <row r="550">
      <c r="D550" s="88"/>
    </row>
    <row r="551">
      <c r="D551" s="88"/>
    </row>
    <row r="552">
      <c r="D552" s="88"/>
    </row>
    <row r="553">
      <c r="D553" s="88"/>
    </row>
    <row r="554">
      <c r="D554" s="88"/>
    </row>
    <row r="555">
      <c r="D555" s="88"/>
    </row>
    <row r="556">
      <c r="D556" s="88"/>
    </row>
    <row r="557">
      <c r="D557" s="88"/>
    </row>
    <row r="558">
      <c r="D558" s="88"/>
    </row>
    <row r="559">
      <c r="D559" s="88"/>
    </row>
    <row r="560">
      <c r="D560" s="88"/>
    </row>
    <row r="561">
      <c r="D561" s="88"/>
    </row>
    <row r="562">
      <c r="D562" s="88"/>
    </row>
    <row r="563">
      <c r="D563" s="88"/>
    </row>
    <row r="564">
      <c r="D564" s="88"/>
    </row>
    <row r="565">
      <c r="D565" s="88"/>
    </row>
    <row r="566">
      <c r="D566" s="88"/>
    </row>
    <row r="567">
      <c r="D567" s="88"/>
    </row>
    <row r="568">
      <c r="D568" s="88"/>
    </row>
    <row r="569">
      <c r="D569" s="88"/>
    </row>
    <row r="570">
      <c r="D570" s="88"/>
    </row>
    <row r="571">
      <c r="D571" s="88"/>
    </row>
    <row r="572">
      <c r="D572" s="88"/>
    </row>
    <row r="573">
      <c r="D573" s="88"/>
    </row>
    <row r="574">
      <c r="D574" s="88"/>
    </row>
    <row r="575">
      <c r="D575" s="88"/>
    </row>
    <row r="576">
      <c r="D576" s="88"/>
    </row>
    <row r="577">
      <c r="D577" s="88"/>
    </row>
    <row r="578">
      <c r="D578" s="88"/>
    </row>
    <row r="579">
      <c r="D579" s="88"/>
    </row>
    <row r="580">
      <c r="D580" s="88"/>
    </row>
    <row r="581">
      <c r="D581" s="88"/>
    </row>
    <row r="582">
      <c r="D582" s="88"/>
    </row>
    <row r="583">
      <c r="D583" s="88"/>
    </row>
    <row r="584">
      <c r="D584" s="88"/>
    </row>
    <row r="585">
      <c r="D585" s="88"/>
    </row>
    <row r="586">
      <c r="D586" s="88"/>
    </row>
    <row r="587">
      <c r="D587" s="88"/>
    </row>
    <row r="588">
      <c r="D588" s="88"/>
    </row>
    <row r="589">
      <c r="D589" s="88"/>
    </row>
    <row r="590">
      <c r="D590" s="88"/>
    </row>
    <row r="591">
      <c r="D591" s="88"/>
    </row>
    <row r="592">
      <c r="D592" s="88"/>
    </row>
    <row r="593">
      <c r="D593" s="88"/>
    </row>
    <row r="594">
      <c r="D594" s="88"/>
    </row>
    <row r="595">
      <c r="D595" s="88"/>
    </row>
    <row r="596">
      <c r="D596" s="88"/>
    </row>
    <row r="597">
      <c r="D597" s="88"/>
    </row>
    <row r="598">
      <c r="D598" s="88"/>
    </row>
    <row r="599">
      <c r="D599" s="88"/>
    </row>
    <row r="600">
      <c r="D600" s="88"/>
    </row>
    <row r="601">
      <c r="D601" s="88"/>
    </row>
    <row r="602">
      <c r="D602" s="88"/>
    </row>
    <row r="603">
      <c r="D603" s="88"/>
    </row>
    <row r="604">
      <c r="D604" s="88"/>
    </row>
    <row r="605">
      <c r="D605" s="88"/>
    </row>
    <row r="606">
      <c r="D606" s="88"/>
    </row>
    <row r="607">
      <c r="D607" s="88"/>
    </row>
    <row r="608">
      <c r="D608" s="88"/>
    </row>
    <row r="609">
      <c r="D609" s="88"/>
    </row>
    <row r="610">
      <c r="D610" s="88"/>
    </row>
    <row r="611">
      <c r="D611" s="88"/>
    </row>
    <row r="612">
      <c r="D612" s="88"/>
    </row>
    <row r="613">
      <c r="D613" s="88"/>
    </row>
    <row r="614">
      <c r="D614" s="88"/>
    </row>
    <row r="615">
      <c r="D615" s="88"/>
    </row>
    <row r="616">
      <c r="D616" s="88"/>
    </row>
    <row r="617">
      <c r="D617" s="88"/>
    </row>
    <row r="618">
      <c r="D618" s="88"/>
    </row>
    <row r="619">
      <c r="D619" s="88"/>
    </row>
    <row r="620">
      <c r="D620" s="88"/>
    </row>
    <row r="621">
      <c r="D621" s="88"/>
    </row>
    <row r="622">
      <c r="D622" s="88"/>
    </row>
    <row r="623">
      <c r="D623" s="88"/>
    </row>
    <row r="624">
      <c r="D624" s="88"/>
    </row>
    <row r="625">
      <c r="D625" s="88"/>
    </row>
    <row r="626">
      <c r="D626" s="88"/>
    </row>
    <row r="627">
      <c r="D627" s="88"/>
    </row>
    <row r="628">
      <c r="D628" s="88"/>
    </row>
    <row r="629">
      <c r="D629" s="88"/>
    </row>
    <row r="630">
      <c r="D630" s="88"/>
    </row>
    <row r="631">
      <c r="D631" s="88"/>
    </row>
    <row r="632">
      <c r="D632" s="88"/>
    </row>
    <row r="633">
      <c r="D633" s="88"/>
    </row>
    <row r="634">
      <c r="D634" s="88"/>
    </row>
    <row r="635">
      <c r="D635" s="88"/>
    </row>
    <row r="636">
      <c r="D636" s="88"/>
    </row>
    <row r="637">
      <c r="D637" s="88"/>
    </row>
    <row r="638">
      <c r="D638" s="88"/>
    </row>
    <row r="639">
      <c r="D639" s="88"/>
    </row>
    <row r="640">
      <c r="D640" s="88"/>
    </row>
    <row r="641">
      <c r="D641" s="88"/>
    </row>
    <row r="642">
      <c r="D642" s="88"/>
    </row>
    <row r="643">
      <c r="D643" s="88"/>
    </row>
    <row r="644">
      <c r="D644" s="88"/>
    </row>
    <row r="645">
      <c r="D645" s="88"/>
    </row>
    <row r="646">
      <c r="D646" s="88"/>
    </row>
    <row r="647">
      <c r="D647" s="88"/>
    </row>
    <row r="648">
      <c r="D648" s="88"/>
    </row>
    <row r="649">
      <c r="D649" s="88"/>
    </row>
    <row r="650">
      <c r="D650" s="88"/>
    </row>
    <row r="651">
      <c r="D651" s="88"/>
    </row>
    <row r="652">
      <c r="D652" s="88"/>
    </row>
    <row r="653">
      <c r="D653" s="88"/>
    </row>
    <row r="654">
      <c r="D654" s="88"/>
    </row>
    <row r="655">
      <c r="D655" s="88"/>
    </row>
    <row r="656">
      <c r="D656" s="88"/>
    </row>
    <row r="657">
      <c r="D657" s="88"/>
    </row>
    <row r="658">
      <c r="D658" s="88"/>
    </row>
    <row r="659">
      <c r="D659" s="88"/>
    </row>
    <row r="660">
      <c r="D660" s="88"/>
    </row>
    <row r="661">
      <c r="D661" s="88"/>
    </row>
    <row r="662">
      <c r="D662" s="88"/>
    </row>
    <row r="663">
      <c r="D663" s="88"/>
    </row>
    <row r="664">
      <c r="D664" s="88"/>
    </row>
    <row r="665">
      <c r="D665" s="88"/>
    </row>
    <row r="666">
      <c r="D666" s="88"/>
    </row>
    <row r="667">
      <c r="D667" s="88"/>
    </row>
    <row r="668">
      <c r="D668" s="88"/>
    </row>
    <row r="669">
      <c r="D669" s="88"/>
    </row>
    <row r="670">
      <c r="D670" s="88"/>
    </row>
    <row r="671">
      <c r="D671" s="88"/>
    </row>
    <row r="672">
      <c r="D672" s="88"/>
    </row>
    <row r="673">
      <c r="D673" s="88"/>
    </row>
    <row r="674">
      <c r="D674" s="88"/>
    </row>
    <row r="675">
      <c r="D675" s="88"/>
    </row>
    <row r="676">
      <c r="D676" s="88"/>
    </row>
    <row r="677">
      <c r="D677" s="88"/>
    </row>
    <row r="678">
      <c r="D678" s="88"/>
    </row>
    <row r="679">
      <c r="D679" s="88"/>
    </row>
    <row r="680">
      <c r="D680" s="88"/>
    </row>
    <row r="681">
      <c r="D681" s="88"/>
    </row>
    <row r="682">
      <c r="D682" s="88"/>
    </row>
    <row r="683">
      <c r="D683" s="88"/>
    </row>
    <row r="684">
      <c r="D684" s="88"/>
    </row>
    <row r="685">
      <c r="D685" s="88"/>
    </row>
    <row r="686">
      <c r="D686" s="88"/>
    </row>
    <row r="687">
      <c r="D687" s="88"/>
    </row>
    <row r="688">
      <c r="D688" s="88"/>
    </row>
    <row r="689">
      <c r="D689" s="88"/>
    </row>
    <row r="690">
      <c r="D690" s="88"/>
    </row>
    <row r="691">
      <c r="D691" s="88"/>
    </row>
    <row r="692">
      <c r="D692" s="88"/>
    </row>
    <row r="693">
      <c r="D693" s="88"/>
    </row>
    <row r="694">
      <c r="D694" s="88"/>
    </row>
    <row r="695">
      <c r="D695" s="88"/>
    </row>
    <row r="696">
      <c r="D696" s="88"/>
    </row>
    <row r="697">
      <c r="D697" s="88"/>
    </row>
    <row r="698">
      <c r="D698" s="88"/>
    </row>
    <row r="699">
      <c r="D699" s="88"/>
    </row>
    <row r="700">
      <c r="D700" s="88"/>
    </row>
    <row r="701">
      <c r="D701" s="88"/>
    </row>
    <row r="702">
      <c r="D702" s="88"/>
    </row>
    <row r="703">
      <c r="D703" s="88"/>
    </row>
    <row r="704">
      <c r="D704" s="88"/>
    </row>
    <row r="705">
      <c r="D705" s="88"/>
    </row>
    <row r="706">
      <c r="D706" s="88"/>
    </row>
    <row r="707">
      <c r="D707" s="88"/>
    </row>
    <row r="708">
      <c r="D708" s="88"/>
    </row>
    <row r="709">
      <c r="D709" s="88"/>
    </row>
    <row r="710">
      <c r="D710" s="88"/>
    </row>
    <row r="711">
      <c r="D711" s="88"/>
    </row>
    <row r="712">
      <c r="D712" s="88"/>
    </row>
    <row r="713">
      <c r="D713" s="88"/>
    </row>
    <row r="714">
      <c r="D714" s="88"/>
    </row>
    <row r="715">
      <c r="D715" s="88"/>
    </row>
    <row r="716">
      <c r="D716" s="88"/>
    </row>
    <row r="717">
      <c r="D717" s="88"/>
    </row>
    <row r="718">
      <c r="D718" s="88"/>
    </row>
    <row r="719">
      <c r="D719" s="88"/>
    </row>
    <row r="720">
      <c r="D720" s="88"/>
    </row>
    <row r="721">
      <c r="D721" s="88"/>
    </row>
    <row r="722">
      <c r="D722" s="88"/>
    </row>
    <row r="723">
      <c r="D723" s="88"/>
    </row>
    <row r="724">
      <c r="D724" s="88"/>
    </row>
    <row r="725">
      <c r="D725" s="88"/>
    </row>
    <row r="726">
      <c r="D726" s="88"/>
    </row>
    <row r="727">
      <c r="D727" s="88"/>
    </row>
    <row r="728">
      <c r="D728" s="88"/>
    </row>
    <row r="729">
      <c r="D729" s="88"/>
    </row>
    <row r="730">
      <c r="D730" s="88"/>
    </row>
    <row r="731">
      <c r="D731" s="88"/>
    </row>
    <row r="732">
      <c r="D732" s="88"/>
    </row>
    <row r="733">
      <c r="D733" s="88"/>
    </row>
    <row r="734">
      <c r="D734" s="88"/>
    </row>
    <row r="735">
      <c r="D735" s="88"/>
    </row>
    <row r="736">
      <c r="D736" s="88"/>
    </row>
    <row r="737">
      <c r="D737" s="88"/>
    </row>
    <row r="738">
      <c r="D738" s="88"/>
    </row>
    <row r="739">
      <c r="D739" s="88"/>
    </row>
    <row r="740">
      <c r="D740" s="88"/>
    </row>
    <row r="741">
      <c r="D741" s="88"/>
    </row>
    <row r="742">
      <c r="D742" s="88"/>
    </row>
    <row r="743">
      <c r="D743" s="88"/>
    </row>
    <row r="744">
      <c r="D744" s="88"/>
    </row>
    <row r="745">
      <c r="D745" s="88"/>
    </row>
    <row r="746">
      <c r="D746" s="88"/>
    </row>
    <row r="747">
      <c r="D747" s="88"/>
    </row>
    <row r="748">
      <c r="D748" s="88"/>
    </row>
    <row r="749">
      <c r="D749" s="88"/>
    </row>
    <row r="750">
      <c r="D750" s="88"/>
    </row>
    <row r="751">
      <c r="D751" s="88"/>
    </row>
    <row r="752">
      <c r="D752" s="88"/>
    </row>
    <row r="753">
      <c r="D753" s="88"/>
    </row>
    <row r="754">
      <c r="D754" s="88"/>
    </row>
    <row r="755">
      <c r="D755" s="88"/>
    </row>
    <row r="756">
      <c r="D756" s="88"/>
    </row>
    <row r="757">
      <c r="D757" s="88"/>
    </row>
    <row r="758">
      <c r="D758" s="88"/>
    </row>
    <row r="759">
      <c r="D759" s="88"/>
    </row>
    <row r="760">
      <c r="D760" s="88"/>
    </row>
    <row r="761">
      <c r="D761" s="88"/>
    </row>
    <row r="762">
      <c r="D762" s="88"/>
    </row>
    <row r="763">
      <c r="D763" s="88"/>
    </row>
    <row r="764">
      <c r="D764" s="88"/>
    </row>
    <row r="765">
      <c r="D765" s="88"/>
    </row>
    <row r="766">
      <c r="D766" s="88"/>
    </row>
    <row r="767">
      <c r="D767" s="88"/>
    </row>
    <row r="768">
      <c r="D768" s="88"/>
    </row>
    <row r="769">
      <c r="D769" s="88"/>
    </row>
    <row r="770">
      <c r="D770" s="88"/>
    </row>
    <row r="771">
      <c r="D771" s="88"/>
    </row>
    <row r="772">
      <c r="D772" s="88"/>
    </row>
    <row r="773">
      <c r="D773" s="88"/>
    </row>
    <row r="774">
      <c r="D774" s="88"/>
    </row>
    <row r="775">
      <c r="D775" s="88"/>
    </row>
    <row r="776">
      <c r="D776" s="88"/>
    </row>
    <row r="777">
      <c r="D777" s="88"/>
    </row>
    <row r="778">
      <c r="D778" s="88"/>
    </row>
    <row r="779">
      <c r="D779" s="88"/>
    </row>
    <row r="780">
      <c r="D780" s="88"/>
    </row>
    <row r="781">
      <c r="D781" s="88"/>
    </row>
    <row r="782">
      <c r="D782" s="88"/>
    </row>
    <row r="783">
      <c r="D783" s="88"/>
    </row>
    <row r="784">
      <c r="D784" s="88"/>
    </row>
    <row r="785">
      <c r="D785" s="88"/>
    </row>
    <row r="786">
      <c r="D786" s="88"/>
    </row>
    <row r="787">
      <c r="D787" s="88"/>
    </row>
    <row r="788">
      <c r="D788" s="88"/>
    </row>
    <row r="789">
      <c r="D789" s="88"/>
    </row>
    <row r="790">
      <c r="D790" s="88"/>
    </row>
    <row r="791">
      <c r="D791" s="88"/>
    </row>
    <row r="792">
      <c r="D792" s="88"/>
    </row>
    <row r="793">
      <c r="D793" s="88"/>
    </row>
    <row r="794">
      <c r="D794" s="88"/>
    </row>
    <row r="795">
      <c r="D795" s="88"/>
    </row>
    <row r="796">
      <c r="D796" s="88"/>
    </row>
    <row r="797">
      <c r="D797" s="88"/>
    </row>
    <row r="798">
      <c r="D798" s="88"/>
    </row>
    <row r="799">
      <c r="D799" s="88"/>
    </row>
    <row r="800">
      <c r="D800" s="88"/>
    </row>
    <row r="801">
      <c r="D801" s="88"/>
    </row>
    <row r="802">
      <c r="D802" s="88"/>
    </row>
    <row r="803">
      <c r="D803" s="88"/>
    </row>
    <row r="804">
      <c r="D804" s="88"/>
    </row>
    <row r="805">
      <c r="D805" s="88"/>
    </row>
    <row r="806">
      <c r="D806" s="88"/>
    </row>
    <row r="807">
      <c r="D807" s="88"/>
    </row>
    <row r="808">
      <c r="D808" s="88"/>
    </row>
    <row r="809">
      <c r="D809" s="88"/>
    </row>
    <row r="810">
      <c r="D810" s="88"/>
    </row>
    <row r="811">
      <c r="D811" s="88"/>
    </row>
    <row r="812">
      <c r="D812" s="88"/>
    </row>
    <row r="813">
      <c r="D813" s="88"/>
    </row>
    <row r="814">
      <c r="D814" s="88"/>
    </row>
    <row r="815">
      <c r="D815" s="88"/>
    </row>
    <row r="816">
      <c r="D816" s="88"/>
    </row>
    <row r="817">
      <c r="D817" s="88"/>
    </row>
    <row r="818">
      <c r="D818" s="88"/>
    </row>
    <row r="819">
      <c r="D819" s="88"/>
    </row>
    <row r="820">
      <c r="D820" s="88"/>
    </row>
    <row r="821">
      <c r="D821" s="88"/>
    </row>
    <row r="822">
      <c r="D822" s="88"/>
    </row>
    <row r="823">
      <c r="D823" s="88"/>
    </row>
    <row r="824">
      <c r="D824" s="88"/>
    </row>
    <row r="825">
      <c r="D825" s="88"/>
    </row>
    <row r="826">
      <c r="D826" s="88"/>
    </row>
    <row r="827">
      <c r="D827" s="88"/>
    </row>
    <row r="828">
      <c r="D828" s="88"/>
    </row>
    <row r="829">
      <c r="D829" s="88"/>
    </row>
    <row r="830">
      <c r="D830" s="88"/>
    </row>
    <row r="831">
      <c r="D831" s="88"/>
    </row>
    <row r="832">
      <c r="D832" s="88"/>
    </row>
    <row r="833">
      <c r="D833" s="88"/>
    </row>
    <row r="834">
      <c r="D834" s="88"/>
    </row>
    <row r="835">
      <c r="D835" s="88"/>
    </row>
    <row r="836">
      <c r="D836" s="88"/>
    </row>
    <row r="837">
      <c r="D837" s="88"/>
    </row>
    <row r="838">
      <c r="D838" s="88"/>
    </row>
    <row r="839">
      <c r="D839" s="88"/>
    </row>
    <row r="840">
      <c r="D840" s="88"/>
    </row>
    <row r="841">
      <c r="D841" s="88"/>
    </row>
    <row r="842">
      <c r="D842" s="88"/>
    </row>
    <row r="843">
      <c r="D843" s="88"/>
    </row>
    <row r="844">
      <c r="D844" s="88"/>
    </row>
    <row r="845">
      <c r="D845" s="88"/>
    </row>
    <row r="846">
      <c r="D846" s="88"/>
    </row>
    <row r="847">
      <c r="D847" s="88"/>
    </row>
    <row r="848">
      <c r="D848" s="88"/>
    </row>
    <row r="849">
      <c r="D849" s="88"/>
    </row>
    <row r="850">
      <c r="D850" s="88"/>
    </row>
    <row r="851">
      <c r="D851" s="88"/>
    </row>
    <row r="852">
      <c r="D852" s="88"/>
    </row>
    <row r="853">
      <c r="D853" s="88"/>
    </row>
    <row r="854">
      <c r="D854" s="88"/>
    </row>
    <row r="855">
      <c r="D855" s="88"/>
    </row>
    <row r="856">
      <c r="D856" s="88"/>
    </row>
    <row r="857">
      <c r="D857" s="88"/>
    </row>
    <row r="858">
      <c r="D858" s="88"/>
    </row>
    <row r="859">
      <c r="D859" s="88"/>
    </row>
    <row r="860">
      <c r="D860" s="88"/>
    </row>
    <row r="861">
      <c r="D861" s="88"/>
    </row>
    <row r="862">
      <c r="D862" s="88"/>
    </row>
    <row r="863">
      <c r="D863" s="88"/>
    </row>
    <row r="864">
      <c r="D864" s="88"/>
    </row>
    <row r="865">
      <c r="D865" s="88"/>
    </row>
    <row r="866">
      <c r="D866" s="88"/>
    </row>
    <row r="867">
      <c r="D867" s="88"/>
    </row>
    <row r="868">
      <c r="D868" s="88"/>
    </row>
    <row r="869">
      <c r="D869" s="88"/>
    </row>
    <row r="870">
      <c r="D870" s="88"/>
    </row>
    <row r="871">
      <c r="D871" s="88"/>
    </row>
    <row r="872">
      <c r="D872" s="88"/>
    </row>
    <row r="873">
      <c r="D873" s="88"/>
    </row>
    <row r="874">
      <c r="D874" s="88"/>
    </row>
    <row r="875">
      <c r="D875" s="88"/>
    </row>
    <row r="876">
      <c r="D876" s="88"/>
    </row>
    <row r="877">
      <c r="D877" s="88"/>
    </row>
    <row r="878">
      <c r="D878" s="88"/>
    </row>
    <row r="879">
      <c r="D879" s="88"/>
    </row>
    <row r="880">
      <c r="D880" s="88"/>
    </row>
    <row r="881">
      <c r="D881" s="88"/>
    </row>
    <row r="882">
      <c r="D882" s="88"/>
    </row>
    <row r="883">
      <c r="D883" s="88"/>
    </row>
    <row r="884">
      <c r="D884" s="88"/>
    </row>
    <row r="885">
      <c r="D885" s="88"/>
    </row>
    <row r="886">
      <c r="D886" s="88"/>
    </row>
    <row r="887">
      <c r="D887" s="88"/>
    </row>
    <row r="888">
      <c r="D888" s="88"/>
    </row>
    <row r="889">
      <c r="D889" s="88"/>
    </row>
    <row r="890">
      <c r="D890" s="88"/>
    </row>
    <row r="891">
      <c r="D891" s="88"/>
    </row>
    <row r="892">
      <c r="D892" s="88"/>
    </row>
    <row r="893">
      <c r="D893" s="88"/>
    </row>
    <row r="894">
      <c r="D894" s="88"/>
    </row>
    <row r="895">
      <c r="D895" s="88"/>
    </row>
    <row r="896">
      <c r="D896" s="88"/>
    </row>
    <row r="897">
      <c r="D897" s="88"/>
    </row>
    <row r="898">
      <c r="D898" s="88"/>
    </row>
    <row r="899">
      <c r="D899" s="88"/>
    </row>
    <row r="900">
      <c r="D900" s="88"/>
    </row>
    <row r="901">
      <c r="D901" s="88"/>
    </row>
    <row r="902">
      <c r="D902" s="88"/>
    </row>
    <row r="903">
      <c r="D903" s="88"/>
    </row>
    <row r="904">
      <c r="D904" s="88"/>
    </row>
    <row r="905">
      <c r="D905" s="88"/>
    </row>
    <row r="906">
      <c r="D906" s="88"/>
    </row>
    <row r="907">
      <c r="D907" s="88"/>
    </row>
    <row r="908">
      <c r="D908" s="88"/>
    </row>
    <row r="909">
      <c r="D909" s="88"/>
    </row>
    <row r="910">
      <c r="D910" s="88"/>
    </row>
    <row r="911">
      <c r="D911" s="88"/>
    </row>
    <row r="912">
      <c r="D912" s="88"/>
    </row>
    <row r="913">
      <c r="D913" s="88"/>
    </row>
    <row r="914">
      <c r="D914" s="88"/>
    </row>
    <row r="915">
      <c r="D915" s="88"/>
    </row>
    <row r="916">
      <c r="D916" s="88"/>
    </row>
    <row r="917">
      <c r="D917" s="88"/>
    </row>
    <row r="918">
      <c r="D918" s="88"/>
    </row>
    <row r="919">
      <c r="D919" s="88"/>
    </row>
    <row r="920">
      <c r="D920" s="88"/>
    </row>
    <row r="921">
      <c r="D921" s="88"/>
    </row>
    <row r="922">
      <c r="D922" s="88"/>
    </row>
    <row r="923">
      <c r="D923" s="88"/>
    </row>
    <row r="924">
      <c r="D924" s="88"/>
    </row>
    <row r="925">
      <c r="D925" s="88"/>
    </row>
    <row r="926">
      <c r="D926" s="88"/>
    </row>
    <row r="927">
      <c r="D927" s="88"/>
    </row>
    <row r="928">
      <c r="D928" s="88"/>
    </row>
    <row r="929">
      <c r="D929" s="88"/>
    </row>
    <row r="930">
      <c r="D930" s="88"/>
    </row>
    <row r="931">
      <c r="D931" s="88"/>
    </row>
    <row r="932">
      <c r="D932" s="88"/>
    </row>
    <row r="933">
      <c r="D933" s="88"/>
    </row>
    <row r="934">
      <c r="D934" s="88"/>
    </row>
    <row r="935">
      <c r="D935" s="88"/>
    </row>
    <row r="936">
      <c r="D936" s="88"/>
    </row>
    <row r="937">
      <c r="D937" s="88"/>
    </row>
    <row r="938">
      <c r="D938" s="88"/>
    </row>
    <row r="939">
      <c r="D939" s="88"/>
    </row>
    <row r="940">
      <c r="D940" s="88"/>
    </row>
    <row r="941">
      <c r="D941" s="88"/>
    </row>
    <row r="942">
      <c r="D942" s="88"/>
    </row>
    <row r="943">
      <c r="D943" s="88"/>
    </row>
    <row r="944">
      <c r="D944" s="88"/>
    </row>
    <row r="945">
      <c r="D945" s="88"/>
    </row>
    <row r="946">
      <c r="D946" s="88"/>
    </row>
    <row r="947">
      <c r="D947" s="88"/>
    </row>
    <row r="948">
      <c r="D948" s="88"/>
    </row>
    <row r="949">
      <c r="D949" s="88"/>
    </row>
    <row r="950">
      <c r="D950" s="88"/>
    </row>
    <row r="951">
      <c r="D951" s="88"/>
    </row>
    <row r="952">
      <c r="D952" s="88"/>
    </row>
    <row r="953">
      <c r="D953" s="88"/>
    </row>
    <row r="954">
      <c r="D954" s="88"/>
    </row>
    <row r="955">
      <c r="D955" s="88"/>
    </row>
    <row r="956">
      <c r="D956" s="88"/>
    </row>
    <row r="957">
      <c r="D957" s="88"/>
    </row>
    <row r="958">
      <c r="D958" s="88"/>
    </row>
    <row r="959">
      <c r="D959" s="88"/>
    </row>
    <row r="960">
      <c r="D960" s="88"/>
    </row>
    <row r="961">
      <c r="D961" s="88"/>
    </row>
    <row r="962">
      <c r="D962" s="88"/>
    </row>
    <row r="963">
      <c r="D963" s="88"/>
    </row>
    <row r="964">
      <c r="D964" s="88"/>
    </row>
    <row r="965">
      <c r="D965" s="88"/>
    </row>
    <row r="966">
      <c r="D966" s="88"/>
    </row>
    <row r="967">
      <c r="D967" s="88"/>
    </row>
    <row r="968">
      <c r="D968" s="88"/>
    </row>
    <row r="969">
      <c r="D969" s="88"/>
    </row>
    <row r="970">
      <c r="D970" s="88"/>
    </row>
    <row r="971">
      <c r="D971" s="88"/>
    </row>
    <row r="972">
      <c r="D972" s="88"/>
    </row>
    <row r="973">
      <c r="D973" s="88"/>
    </row>
    <row r="974">
      <c r="D974" s="88"/>
    </row>
    <row r="975">
      <c r="D975" s="88"/>
    </row>
    <row r="976">
      <c r="D976" s="88"/>
    </row>
    <row r="977">
      <c r="D977" s="88"/>
    </row>
    <row r="978">
      <c r="D978" s="88"/>
    </row>
    <row r="979">
      <c r="D979" s="88"/>
    </row>
    <row r="980">
      <c r="D980" s="88"/>
    </row>
    <row r="981">
      <c r="D981" s="88"/>
    </row>
    <row r="982">
      <c r="D982" s="88"/>
    </row>
    <row r="983">
      <c r="D983" s="88"/>
    </row>
    <row r="984">
      <c r="D984" s="88"/>
    </row>
    <row r="985">
      <c r="D985" s="88"/>
    </row>
    <row r="986">
      <c r="D986" s="88"/>
    </row>
    <row r="987">
      <c r="D987" s="88"/>
    </row>
    <row r="988">
      <c r="D988" s="88"/>
    </row>
    <row r="989">
      <c r="D989" s="88"/>
    </row>
    <row r="990">
      <c r="D990" s="88"/>
    </row>
    <row r="991">
      <c r="D991" s="88"/>
    </row>
    <row r="992">
      <c r="D992" s="88"/>
    </row>
    <row r="993">
      <c r="D993" s="88"/>
    </row>
    <row r="994">
      <c r="D994" s="88"/>
    </row>
    <row r="995">
      <c r="D995" s="88"/>
    </row>
    <row r="996">
      <c r="D996" s="88"/>
    </row>
    <row r="997">
      <c r="D997" s="88"/>
    </row>
    <row r="998">
      <c r="D998" s="88"/>
    </row>
    <row r="999">
      <c r="D999" s="88"/>
    </row>
    <row r="1000">
      <c r="D1000" s="88"/>
    </row>
    <row r="1001">
      <c r="D1001" s="88"/>
    </row>
    <row r="1002">
      <c r="D1002" s="88"/>
    </row>
    <row r="1003">
      <c r="D1003" s="88"/>
    </row>
    <row r="1004">
      <c r="D1004" s="88"/>
    </row>
    <row r="1005">
      <c r="D1005" s="88"/>
    </row>
    <row r="1006">
      <c r="D1006" s="88"/>
    </row>
    <row r="1007">
      <c r="D1007" s="88"/>
    </row>
    <row r="1008">
      <c r="D1008" s="88"/>
    </row>
    <row r="1009">
      <c r="D1009" s="88"/>
    </row>
    <row r="1010">
      <c r="D1010" s="88"/>
    </row>
    <row r="1011">
      <c r="D1011" s="88"/>
    </row>
    <row r="1012">
      <c r="D1012" s="88"/>
    </row>
    <row r="1013">
      <c r="D1013" s="88"/>
    </row>
    <row r="1014">
      <c r="D1014" s="88"/>
    </row>
    <row r="1015">
      <c r="D1015" s="88"/>
    </row>
    <row r="1016">
      <c r="D1016" s="88"/>
    </row>
    <row r="1017">
      <c r="D1017" s="88"/>
    </row>
    <row r="1018">
      <c r="D1018" s="88"/>
    </row>
    <row r="1019">
      <c r="D1019" s="88"/>
    </row>
  </sheetData>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27.63"/>
    <col customWidth="1" min="3" max="3" width="45.13"/>
    <col customWidth="1" min="4" max="4" width="20.13"/>
    <col customWidth="1" min="5" max="5" width="45.13"/>
    <col customWidth="1" min="6" max="6" width="42.63"/>
    <col customWidth="1" min="7" max="7" width="35.13"/>
    <col customWidth="1" min="8" max="8" width="27.63"/>
    <col customWidth="1" min="9" max="9" width="25.13"/>
    <col customWidth="1" min="10" max="10" width="16.38"/>
    <col customWidth="1" min="11" max="11" width="22.63"/>
    <col customWidth="1" min="12" max="12" width="37.63"/>
    <col customWidth="1" min="13" max="13" width="52.63"/>
  </cols>
  <sheetData>
    <row r="1" ht="27.0" customHeight="1">
      <c r="A1" s="1" t="s">
        <v>0</v>
      </c>
      <c r="B1" s="4" t="s">
        <v>2</v>
      </c>
      <c r="C1" s="4" t="s">
        <v>4</v>
      </c>
      <c r="D1" s="4" t="s">
        <v>5</v>
      </c>
      <c r="E1" s="4" t="s">
        <v>6</v>
      </c>
      <c r="F1" s="4" t="s">
        <v>7</v>
      </c>
      <c r="G1" s="4" t="s">
        <v>8</v>
      </c>
      <c r="H1" s="4" t="s">
        <v>9</v>
      </c>
      <c r="I1" s="4" t="s">
        <v>11</v>
      </c>
      <c r="J1" s="4" t="s">
        <v>12</v>
      </c>
      <c r="K1" s="4" t="s">
        <v>13</v>
      </c>
      <c r="L1" s="4" t="s">
        <v>14</v>
      </c>
      <c r="M1" s="8" t="s">
        <v>15</v>
      </c>
    </row>
    <row r="2">
      <c r="A2" s="192" t="s">
        <v>2709</v>
      </c>
      <c r="B2" s="193" t="s">
        <v>2714</v>
      </c>
      <c r="C2" s="194" t="s">
        <v>2716</v>
      </c>
      <c r="D2" s="195" t="s">
        <v>1793</v>
      </c>
      <c r="E2" s="194" t="s">
        <v>2718</v>
      </c>
      <c r="F2" s="194" t="s">
        <v>2720</v>
      </c>
      <c r="G2" s="194" t="s">
        <v>2721</v>
      </c>
      <c r="H2" s="194" t="s">
        <v>2723</v>
      </c>
      <c r="I2" s="194" t="s">
        <v>2724</v>
      </c>
      <c r="J2" s="195" t="s">
        <v>1800</v>
      </c>
      <c r="K2" s="194" t="s">
        <v>2725</v>
      </c>
      <c r="L2" s="194" t="s">
        <v>2727</v>
      </c>
      <c r="M2" s="196" t="s">
        <v>2730</v>
      </c>
    </row>
    <row r="3">
      <c r="A3" s="197" t="s">
        <v>2732</v>
      </c>
      <c r="B3" s="198" t="s">
        <v>2735</v>
      </c>
      <c r="C3" s="199" t="s">
        <v>2736</v>
      </c>
      <c r="D3" s="200" t="s">
        <v>1819</v>
      </c>
      <c r="E3" s="199" t="s">
        <v>2737</v>
      </c>
      <c r="F3" s="199" t="s">
        <v>2739</v>
      </c>
      <c r="G3" s="199" t="s">
        <v>2741</v>
      </c>
      <c r="H3" s="199" t="s">
        <v>1799</v>
      </c>
      <c r="I3" s="199" t="s">
        <v>2742</v>
      </c>
      <c r="J3" s="200" t="s">
        <v>1799</v>
      </c>
      <c r="K3" s="199" t="s">
        <v>2744</v>
      </c>
      <c r="L3" s="199" t="s">
        <v>2746</v>
      </c>
      <c r="M3" s="201" t="s">
        <v>2748</v>
      </c>
    </row>
    <row r="4">
      <c r="A4" s="202" t="s">
        <v>2749</v>
      </c>
      <c r="B4" s="203" t="s">
        <v>2750</v>
      </c>
      <c r="C4" s="204" t="s">
        <v>2752</v>
      </c>
      <c r="D4" s="205" t="s">
        <v>1793</v>
      </c>
      <c r="E4" s="204" t="s">
        <v>2756</v>
      </c>
      <c r="F4" s="204" t="s">
        <v>2757</v>
      </c>
      <c r="G4" s="204" t="s">
        <v>2758</v>
      </c>
      <c r="H4" s="204" t="s">
        <v>1799</v>
      </c>
      <c r="I4" s="204" t="s">
        <v>2759</v>
      </c>
      <c r="J4" s="205" t="s">
        <v>1800</v>
      </c>
      <c r="K4" s="204" t="s">
        <v>2760</v>
      </c>
      <c r="L4" s="204" t="s">
        <v>2761</v>
      </c>
      <c r="M4" s="206" t="s">
        <v>2762</v>
      </c>
    </row>
    <row r="5">
      <c r="A5" s="197" t="s">
        <v>1580</v>
      </c>
      <c r="B5" s="198" t="s">
        <v>2764</v>
      </c>
      <c r="C5" s="199" t="s">
        <v>2765</v>
      </c>
      <c r="D5" s="200" t="s">
        <v>1793</v>
      </c>
      <c r="E5" s="199" t="s">
        <v>2768</v>
      </c>
      <c r="F5" s="199" t="s">
        <v>2769</v>
      </c>
      <c r="G5" s="199" t="s">
        <v>2770</v>
      </c>
      <c r="H5" s="199" t="s">
        <v>1799</v>
      </c>
      <c r="I5" s="199" t="s">
        <v>2772</v>
      </c>
      <c r="J5" s="200" t="s">
        <v>1800</v>
      </c>
      <c r="K5" s="199" t="s">
        <v>2773</v>
      </c>
      <c r="L5" s="199" t="s">
        <v>2774</v>
      </c>
      <c r="M5" s="201" t="s">
        <v>2775</v>
      </c>
    </row>
    <row r="6">
      <c r="A6" s="176" t="s">
        <v>2776</v>
      </c>
      <c r="B6" s="203" t="s">
        <v>2777</v>
      </c>
      <c r="C6" s="204" t="s">
        <v>2778</v>
      </c>
      <c r="D6" s="205" t="s">
        <v>1793</v>
      </c>
      <c r="E6" s="204" t="s">
        <v>2779</v>
      </c>
      <c r="F6" s="204" t="s">
        <v>2781</v>
      </c>
      <c r="G6" s="204" t="s">
        <v>2782</v>
      </c>
      <c r="H6" s="204" t="s">
        <v>2784</v>
      </c>
      <c r="I6" s="204" t="s">
        <v>2786</v>
      </c>
      <c r="J6" s="205" t="s">
        <v>1800</v>
      </c>
      <c r="K6" s="204" t="s">
        <v>2788</v>
      </c>
      <c r="L6" s="204" t="s">
        <v>2789</v>
      </c>
      <c r="M6" s="206" t="s">
        <v>2791</v>
      </c>
    </row>
    <row r="7" ht="35.25" customHeight="1">
      <c r="A7" s="176" t="s">
        <v>2792</v>
      </c>
      <c r="B7" s="207" t="s">
        <v>2793</v>
      </c>
      <c r="C7" s="208" t="s">
        <v>2794</v>
      </c>
      <c r="D7" s="209" t="s">
        <v>1793</v>
      </c>
      <c r="E7" s="204" t="str">
        <f>IFERROR(__xludf.DUMMYFUNCTION("AI(""Fill an appropriate value for this cell based on the table context"")"),"buyerId (UUID), orderId (UUID), amount (Decimal), gateway (String)")</f>
        <v>buyerId (UUID), orderId (UUID), amount (Decimal), gateway (String)</v>
      </c>
      <c r="F7" s="204" t="str">
        <f>IFERROR(__xludf.DUMMYFUNCTION("AI(""Fill an appropriate value for this cell based on the table context"")"),"{""paymentUrl"": ""Gateway Payment URL"", ""transactionId"": ""UUID"", ""status"": ""PENDING""}")</f>
        <v>{"paymentUrl": "Gateway Payment URL", "transactionId": "UUID", "status": "PENDING"}</v>
      </c>
      <c r="G7" s="204" t="str">
        <f>IFERROR(__xludf.DUMMYFUNCTION("AI(""Fill an appropriate value for this cell based on the table context"")"),"amount &gt; 0, gatewayCode hợp lệ.")</f>
        <v>amount &gt; 0, gatewayCode hợp lệ.</v>
      </c>
      <c r="H7" s="204" t="str">
        <f>IFERROR(__xludf.DUMMYFUNCTION("AI(""Fill an appropriate value for this cell based on the table context"")"),"no")</f>
        <v>no</v>
      </c>
      <c r="I7" s="204" t="str">
        <f>IFERROR(__xludf.DUMMYFUNCTION("AI(""Fill an appropriate value for this cell based on the table context"")"),"DirectPaymentInitiated / DirectPaymentFailed")</f>
        <v>DirectPaymentInitiated / DirectPaymentFailed</v>
      </c>
      <c r="J7" s="205"/>
      <c r="K7" s="204"/>
      <c r="L7" s="204"/>
      <c r="M7" s="206"/>
    </row>
    <row r="8">
      <c r="A8" s="197" t="s">
        <v>2801</v>
      </c>
      <c r="B8" s="198" t="s">
        <v>2802</v>
      </c>
      <c r="C8" s="199" t="s">
        <v>2804</v>
      </c>
      <c r="D8" s="200" t="s">
        <v>1793</v>
      </c>
      <c r="E8" s="199" t="s">
        <v>2806</v>
      </c>
      <c r="F8" s="199" t="s">
        <v>2807</v>
      </c>
      <c r="G8" s="199" t="s">
        <v>2809</v>
      </c>
      <c r="H8" s="199" t="s">
        <v>2784</v>
      </c>
      <c r="I8" s="199" t="s">
        <v>2811</v>
      </c>
      <c r="J8" s="200" t="s">
        <v>1800</v>
      </c>
      <c r="K8" s="199" t="s">
        <v>2812</v>
      </c>
      <c r="L8" s="199" t="s">
        <v>2813</v>
      </c>
      <c r="M8" s="201" t="s">
        <v>2815</v>
      </c>
    </row>
    <row r="9">
      <c r="A9" s="202" t="s">
        <v>2816</v>
      </c>
      <c r="B9" s="203" t="s">
        <v>2817</v>
      </c>
      <c r="C9" s="204" t="s">
        <v>2818</v>
      </c>
      <c r="D9" s="205" t="s">
        <v>1793</v>
      </c>
      <c r="E9" s="204" t="s">
        <v>2819</v>
      </c>
      <c r="F9" s="204" t="s">
        <v>2820</v>
      </c>
      <c r="G9" s="204" t="s">
        <v>2821</v>
      </c>
      <c r="H9" s="204" t="s">
        <v>1799</v>
      </c>
      <c r="I9" s="204" t="s">
        <v>2822</v>
      </c>
      <c r="J9" s="205" t="s">
        <v>1800</v>
      </c>
      <c r="K9" s="204" t="s">
        <v>2823</v>
      </c>
      <c r="L9" s="204" t="s">
        <v>2824</v>
      </c>
      <c r="M9" s="206" t="s">
        <v>2825</v>
      </c>
    </row>
    <row r="10">
      <c r="A10" s="197" t="s">
        <v>2826</v>
      </c>
      <c r="B10" s="198" t="s">
        <v>2828</v>
      </c>
      <c r="C10" s="199" t="s">
        <v>2829</v>
      </c>
      <c r="D10" s="200" t="s">
        <v>1793</v>
      </c>
      <c r="E10" s="199" t="s">
        <v>2831</v>
      </c>
      <c r="F10" s="199" t="s">
        <v>2833</v>
      </c>
      <c r="G10" s="199" t="s">
        <v>2835</v>
      </c>
      <c r="H10" s="199" t="s">
        <v>1799</v>
      </c>
      <c r="I10" s="199" t="s">
        <v>2836</v>
      </c>
      <c r="J10" s="200" t="s">
        <v>1800</v>
      </c>
      <c r="K10" s="199" t="s">
        <v>2837</v>
      </c>
      <c r="L10" s="199" t="s">
        <v>2839</v>
      </c>
      <c r="M10" s="201" t="s">
        <v>2840</v>
      </c>
    </row>
    <row r="11">
      <c r="A11" s="210" t="s">
        <v>2841</v>
      </c>
      <c r="B11" s="211" t="s">
        <v>2842</v>
      </c>
      <c r="C11" s="212" t="s">
        <v>2845</v>
      </c>
      <c r="D11" s="213" t="s">
        <v>1819</v>
      </c>
      <c r="E11" s="212" t="s">
        <v>2849</v>
      </c>
      <c r="F11" s="212" t="s">
        <v>2850</v>
      </c>
      <c r="G11" s="212" t="s">
        <v>2851</v>
      </c>
      <c r="H11" s="212" t="s">
        <v>1799</v>
      </c>
      <c r="I11" s="212" t="s">
        <v>2742</v>
      </c>
      <c r="J11" s="213" t="s">
        <v>1799</v>
      </c>
      <c r="K11" s="212" t="s">
        <v>2744</v>
      </c>
      <c r="L11" s="212" t="s">
        <v>2852</v>
      </c>
      <c r="M11" s="214" t="s">
        <v>2853</v>
      </c>
    </row>
    <row r="12">
      <c r="A12" s="215" t="s">
        <v>2856</v>
      </c>
      <c r="B12" s="216" t="s">
        <v>2859</v>
      </c>
      <c r="C12" s="217" t="s">
        <v>2861</v>
      </c>
      <c r="D12" s="218" t="s">
        <v>1793</v>
      </c>
      <c r="E12" s="35"/>
      <c r="F12" s="208"/>
      <c r="G12" s="204"/>
      <c r="H12" s="212"/>
      <c r="I12" s="212"/>
      <c r="J12" s="213"/>
      <c r="K12" s="212"/>
      <c r="L12" s="212"/>
      <c r="M12" s="214"/>
    </row>
  </sheetData>
  <drawing r:id="rId1"/>
  <tableParts count="1">
    <tablePart r:id="rId3"/>
  </tableParts>
</worksheet>
</file>